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DieseArbeitsmappe" defaultThemeVersion="124226"/>
  <mc:AlternateContent xmlns:mc="http://schemas.openxmlformats.org/markup-compatibility/2006">
    <mc:Choice Requires="x15">
      <x15ac:absPath xmlns:x15ac="http://schemas.microsoft.com/office/spreadsheetml/2010/11/ac" url="X:\FST_Docu\Temp\AbidiO\Calibration\VT32\"/>
    </mc:Choice>
  </mc:AlternateContent>
  <xr:revisionPtr revIDLastSave="0" documentId="13_ncr:1_{F8B86F92-6F8F-488A-B0C2-BC90049B7BAA}" xr6:coauthVersionLast="47" xr6:coauthVersionMax="47" xr10:uidLastSave="{00000000-0000-0000-0000-000000000000}"/>
  <bookViews>
    <workbookView xWindow="45972" yWindow="-108" windowWidth="23256" windowHeight="12456" tabRatio="749" xr2:uid="{00000000-000D-0000-FFFF-FFFF00000000}"/>
  </bookViews>
  <sheets>
    <sheet name="calibration certificate" sheetId="25" r:id="rId1"/>
    <sheet name="settings" sheetId="2" r:id="rId2"/>
    <sheet name="calibration procedure" sheetId="4" r:id="rId3"/>
    <sheet name="System Calibration manager " sheetId="31" r:id="rId4"/>
    <sheet name="VT 7001 1" sheetId="7" r:id="rId5"/>
    <sheet name="VT 7001 2" sheetId="27" r:id="rId6"/>
    <sheet name="VT 1004 " sheetId="26" r:id="rId7"/>
    <sheet name="VT 2004" sheetId="28" r:id="rId8"/>
    <sheet name="VT 2516" sheetId="29" r:id="rId9"/>
    <sheet name="VT 2816" sheetId="30" r:id="rId10"/>
  </sheets>
  <definedNames>
    <definedName name="_xlnm.Print_Area" localSheetId="0">'calibration certificate'!$A$1:$M$28</definedName>
    <definedName name="_xlnm.Print_Area" localSheetId="2">'calibration procedure'!$A$1:$C$11</definedName>
    <definedName name="_xlnm.Print_Area" localSheetId="1">settings!$A$1:$O$25</definedName>
    <definedName name="_xlnm.Print_Area" localSheetId="3">'System Calibration manager '!$A$1:$C$8</definedName>
    <definedName name="_xlnm.Print_Area" localSheetId="6">'VT 1004 '!$A$1:$Z$38</definedName>
    <definedName name="_xlnm.Print_Area" localSheetId="7">'VT 2004'!$A$1:$R$43</definedName>
    <definedName name="_xlnm.Print_Area" localSheetId="8">'VT 2516'!$A$1:$BN$28</definedName>
    <definedName name="_xlnm.Print_Area" localSheetId="9">'VT 2816'!$A$1:$BS$24</definedName>
    <definedName name="_xlnm.Print_Area" localSheetId="4">'VT 7001 1'!$A$1:$Q$43</definedName>
    <definedName name="_xlnm.Print_Area" localSheetId="5">'VT 7001 2'!$A$1:$Q$46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28" l="1"/>
  <c r="F10" i="28" s="1"/>
  <c r="I7" i="28"/>
  <c r="J7" i="28" s="1"/>
  <c r="I6" i="28"/>
  <c r="I9" i="28"/>
  <c r="I8" i="28"/>
  <c r="Q38" i="26"/>
  <c r="Q37" i="26"/>
  <c r="R37" i="26" s="1"/>
  <c r="Q36" i="26"/>
  <c r="R36" i="26" s="1"/>
  <c r="Q35" i="26"/>
  <c r="M38" i="26"/>
  <c r="N38" i="26" s="1"/>
  <c r="M37" i="26"/>
  <c r="N37" i="26" s="1"/>
  <c r="M36" i="26"/>
  <c r="M35" i="26"/>
  <c r="N35" i="26" s="1"/>
  <c r="I38" i="26"/>
  <c r="J38" i="26" s="1"/>
  <c r="I37" i="26"/>
  <c r="J37" i="26" s="1"/>
  <c r="I36" i="26"/>
  <c r="J36" i="26" s="1"/>
  <c r="I35" i="26"/>
  <c r="J35" i="26"/>
  <c r="E38" i="26"/>
  <c r="F38" i="26" s="1"/>
  <c r="E37" i="26"/>
  <c r="F37" i="26" s="1"/>
  <c r="E36" i="26"/>
  <c r="F36" i="26" s="1"/>
  <c r="E35" i="26"/>
  <c r="F35" i="26"/>
  <c r="R35" i="26"/>
  <c r="R38" i="26"/>
  <c r="N36" i="26"/>
  <c r="O26" i="27"/>
  <c r="O21" i="27"/>
  <c r="P26" i="27"/>
  <c r="M26" i="27"/>
  <c r="L26" i="27"/>
  <c r="P10" i="27"/>
  <c r="O10" i="27"/>
  <c r="M10" i="27"/>
  <c r="L10" i="27"/>
  <c r="D43" i="27"/>
  <c r="C43" i="27"/>
  <c r="F43" i="27" s="1"/>
  <c r="D42" i="27"/>
  <c r="D44" i="27"/>
  <c r="C42" i="27"/>
  <c r="G42" i="27" s="1"/>
  <c r="C44" i="27"/>
  <c r="G44" i="27" s="1"/>
  <c r="D12" i="27"/>
  <c r="D13" i="27"/>
  <c r="C12" i="27"/>
  <c r="G12" i="27" s="1"/>
  <c r="C13" i="27"/>
  <c r="G13" i="27" s="1"/>
  <c r="D26" i="27"/>
  <c r="D27" i="27"/>
  <c r="C26" i="27"/>
  <c r="C27" i="27"/>
  <c r="D10" i="27"/>
  <c r="D11" i="27"/>
  <c r="C10" i="27"/>
  <c r="G10" i="27" s="1"/>
  <c r="C11" i="27"/>
  <c r="G11" i="27" s="1"/>
  <c r="D41" i="7"/>
  <c r="C41" i="7"/>
  <c r="F41" i="7" s="1"/>
  <c r="O27" i="7"/>
  <c r="P27" i="7"/>
  <c r="M26" i="7"/>
  <c r="O26" i="7" s="1"/>
  <c r="M27" i="7"/>
  <c r="L26" i="7"/>
  <c r="L27" i="7"/>
  <c r="F13" i="27" l="1"/>
  <c r="F12" i="27"/>
  <c r="F26" i="27"/>
  <c r="G43" i="27"/>
  <c r="F44" i="27"/>
  <c r="F42" i="27"/>
  <c r="F27" i="27"/>
  <c r="G27" i="27"/>
  <c r="G26" i="27"/>
  <c r="F10" i="27"/>
  <c r="F11" i="27"/>
  <c r="P26" i="7"/>
  <c r="G41" i="7"/>
  <c r="Q34" i="26"/>
  <c r="R34" i="26" s="1"/>
  <c r="M34" i="26"/>
  <c r="N34" i="26" s="1"/>
  <c r="I34" i="26"/>
  <c r="J34" i="26" s="1"/>
  <c r="E34" i="26"/>
  <c r="F34" i="26" s="1"/>
  <c r="Q33" i="26"/>
  <c r="R33" i="26" s="1"/>
  <c r="M33" i="26"/>
  <c r="N33" i="26" s="1"/>
  <c r="I33" i="26"/>
  <c r="J33" i="26" s="1"/>
  <c r="E33" i="26"/>
  <c r="F33" i="26" s="1"/>
  <c r="Q32" i="26"/>
  <c r="R32" i="26" s="1"/>
  <c r="M32" i="26"/>
  <c r="N32" i="26" s="1"/>
  <c r="I32" i="26"/>
  <c r="J32" i="26" s="1"/>
  <c r="E32" i="26"/>
  <c r="F32" i="26" s="1"/>
  <c r="Q31" i="26"/>
  <c r="R31" i="26" s="1"/>
  <c r="M31" i="26"/>
  <c r="N31" i="26" s="1"/>
  <c r="I31" i="26"/>
  <c r="J31" i="26" s="1"/>
  <c r="E31" i="26"/>
  <c r="F31" i="26" s="1"/>
  <c r="BM23" i="29"/>
  <c r="BN23" i="29" s="1"/>
  <c r="BJ23" i="29"/>
  <c r="BI23" i="29"/>
  <c r="BF23" i="29"/>
  <c r="BE23" i="29"/>
  <c r="BA23" i="29"/>
  <c r="BB23" i="29" s="1"/>
  <c r="AW23" i="29"/>
  <c r="AX23" i="29" s="1"/>
  <c r="AS23" i="29"/>
  <c r="AT23" i="29" s="1"/>
  <c r="AO23" i="29"/>
  <c r="AP23" i="29" s="1"/>
  <c r="AK23" i="29"/>
  <c r="AL23" i="29" s="1"/>
  <c r="AH23" i="29"/>
  <c r="AG23" i="29"/>
  <c r="AD23" i="29"/>
  <c r="AC23" i="29"/>
  <c r="Y23" i="29"/>
  <c r="Z23" i="29" s="1"/>
  <c r="U23" i="29"/>
  <c r="V23" i="29" s="1"/>
  <c r="Q23" i="29"/>
  <c r="R23" i="29" s="1"/>
  <c r="M23" i="29"/>
  <c r="N23" i="29" s="1"/>
  <c r="I23" i="29"/>
  <c r="J23" i="29" s="1"/>
  <c r="F23" i="29"/>
  <c r="E23" i="29"/>
  <c r="BN22" i="29"/>
  <c r="BM22" i="29"/>
  <c r="BI22" i="29"/>
  <c r="BJ22" i="29" s="1"/>
  <c r="BE22" i="29"/>
  <c r="BF22" i="29" s="1"/>
  <c r="BA22" i="29"/>
  <c r="BB22" i="29" s="1"/>
  <c r="AW22" i="29"/>
  <c r="AX22" i="29" s="1"/>
  <c r="AS22" i="29"/>
  <c r="AT22" i="29" s="1"/>
  <c r="AP22" i="29"/>
  <c r="AO22" i="29"/>
  <c r="AL22" i="29"/>
  <c r="AK22" i="29"/>
  <c r="AG22" i="29"/>
  <c r="AH22" i="29" s="1"/>
  <c r="AC22" i="29"/>
  <c r="AD22" i="29" s="1"/>
  <c r="Y22" i="29"/>
  <c r="Z22" i="29" s="1"/>
  <c r="U22" i="29"/>
  <c r="V22" i="29" s="1"/>
  <c r="Q22" i="29"/>
  <c r="R22" i="29" s="1"/>
  <c r="N22" i="29"/>
  <c r="M22" i="29"/>
  <c r="J22" i="29"/>
  <c r="I22" i="29"/>
  <c r="E22" i="29"/>
  <c r="F22" i="29" s="1"/>
  <c r="BM21" i="29"/>
  <c r="BN21" i="29" s="1"/>
  <c r="BI21" i="29"/>
  <c r="BJ21" i="29" s="1"/>
  <c r="BE21" i="29"/>
  <c r="BF21" i="29" s="1"/>
  <c r="BA21" i="29"/>
  <c r="BB21" i="29" s="1"/>
  <c r="AX21" i="29"/>
  <c r="AW21" i="29"/>
  <c r="AT21" i="29"/>
  <c r="AS21" i="29"/>
  <c r="AO21" i="29"/>
  <c r="AP21" i="29" s="1"/>
  <c r="AK21" i="29"/>
  <c r="AL21" i="29" s="1"/>
  <c r="AG21" i="29"/>
  <c r="AH21" i="29" s="1"/>
  <c r="AC21" i="29"/>
  <c r="AD21" i="29" s="1"/>
  <c r="Y21" i="29"/>
  <c r="Z21" i="29" s="1"/>
  <c r="V21" i="29"/>
  <c r="U21" i="29"/>
  <c r="R21" i="29"/>
  <c r="Q21" i="29"/>
  <c r="M21" i="29"/>
  <c r="N21" i="29" s="1"/>
  <c r="I21" i="29"/>
  <c r="J21" i="29" s="1"/>
  <c r="E21" i="29"/>
  <c r="F21" i="29" s="1"/>
  <c r="BM20" i="29"/>
  <c r="BN20" i="29" s="1"/>
  <c r="BI20" i="29"/>
  <c r="BJ20" i="29" s="1"/>
  <c r="BF20" i="29"/>
  <c r="BE20" i="29"/>
  <c r="BB20" i="29"/>
  <c r="BA20" i="29"/>
  <c r="AW20" i="29"/>
  <c r="AX20" i="29" s="1"/>
  <c r="AS20" i="29"/>
  <c r="AT20" i="29" s="1"/>
  <c r="AO20" i="29"/>
  <c r="AP20" i="29" s="1"/>
  <c r="AK20" i="29"/>
  <c r="AL20" i="29" s="1"/>
  <c r="AG20" i="29"/>
  <c r="AH20" i="29" s="1"/>
  <c r="AD20" i="29"/>
  <c r="AC20" i="29"/>
  <c r="Z20" i="29"/>
  <c r="Y20" i="29"/>
  <c r="U20" i="29"/>
  <c r="V20" i="29" s="1"/>
  <c r="Q20" i="29"/>
  <c r="R20" i="29" s="1"/>
  <c r="M20" i="29"/>
  <c r="N20" i="29" s="1"/>
  <c r="I20" i="29"/>
  <c r="J20" i="29" s="1"/>
  <c r="E20" i="29"/>
  <c r="F20" i="29" s="1"/>
  <c r="BI12" i="29" l="1"/>
  <c r="BE8" i="29"/>
  <c r="BF8" i="29" s="1"/>
  <c r="BE9" i="29"/>
  <c r="BF9" i="29" s="1"/>
  <c r="BE10" i="29"/>
  <c r="BF10" i="29" s="1"/>
  <c r="BE11" i="29"/>
  <c r="BE12" i="29"/>
  <c r="BF12" i="29" s="1"/>
  <c r="BE13" i="29"/>
  <c r="BF13" i="29" s="1"/>
  <c r="BF11" i="29"/>
  <c r="AL10" i="29"/>
  <c r="AL12" i="29"/>
  <c r="AL13" i="29"/>
  <c r="AK7" i="29"/>
  <c r="AL7" i="29" s="1"/>
  <c r="AK8" i="29"/>
  <c r="AK9" i="29"/>
  <c r="AL9" i="29" s="1"/>
  <c r="AK10" i="29"/>
  <c r="AK11" i="29"/>
  <c r="AL11" i="29" s="1"/>
  <c r="AK12" i="29"/>
  <c r="AK13" i="29"/>
  <c r="M13" i="29"/>
  <c r="N13" i="29" s="1"/>
  <c r="M12" i="29"/>
  <c r="N12" i="29" s="1"/>
  <c r="M11" i="29"/>
  <c r="N11" i="29" s="1"/>
  <c r="M10" i="29"/>
  <c r="N10" i="29" s="1"/>
  <c r="M9" i="29"/>
  <c r="N9" i="29" s="1"/>
  <c r="M8" i="29"/>
  <c r="N8" i="29" s="1"/>
  <c r="M7" i="29"/>
  <c r="N7" i="29" s="1"/>
  <c r="M6" i="29"/>
  <c r="AG7" i="29"/>
  <c r="AH7" i="29" s="1"/>
  <c r="AG8" i="29"/>
  <c r="AH8" i="29" s="1"/>
  <c r="AG9" i="29"/>
  <c r="AH9" i="29" s="1"/>
  <c r="AG10" i="29"/>
  <c r="AG11" i="29"/>
  <c r="AH11" i="29" s="1"/>
  <c r="AG12" i="29"/>
  <c r="AH12" i="29" s="1"/>
  <c r="AG13" i="29"/>
  <c r="AH13" i="29" s="1"/>
  <c r="AC7" i="29"/>
  <c r="AD7" i="29" s="1"/>
  <c r="AC8" i="29"/>
  <c r="AD8" i="29" s="1"/>
  <c r="AC9" i="29"/>
  <c r="AD9" i="29" s="1"/>
  <c r="AC10" i="29"/>
  <c r="AD10" i="29" s="1"/>
  <c r="AC11" i="29"/>
  <c r="AD11" i="29" s="1"/>
  <c r="AC12" i="29"/>
  <c r="AD12" i="29" s="1"/>
  <c r="AC13" i="29"/>
  <c r="AD13" i="29" s="1"/>
  <c r="Y7" i="29"/>
  <c r="Z7" i="29" s="1"/>
  <c r="Y8" i="29"/>
  <c r="Z8" i="29" s="1"/>
  <c r="Y9" i="29"/>
  <c r="Z9" i="29" s="1"/>
  <c r="Y10" i="29"/>
  <c r="Z10" i="29" s="1"/>
  <c r="Y11" i="29"/>
  <c r="Z11" i="29" s="1"/>
  <c r="Y12" i="29"/>
  <c r="Z12" i="29" s="1"/>
  <c r="Y13" i="29"/>
  <c r="Z13" i="29" s="1"/>
  <c r="U7" i="29"/>
  <c r="V7" i="29" s="1"/>
  <c r="U8" i="29"/>
  <c r="V8" i="29" s="1"/>
  <c r="U9" i="29"/>
  <c r="V9" i="29" s="1"/>
  <c r="U10" i="29"/>
  <c r="V10" i="29" s="1"/>
  <c r="U11" i="29"/>
  <c r="V11" i="29" s="1"/>
  <c r="U12" i="29"/>
  <c r="V12" i="29" s="1"/>
  <c r="U13" i="29"/>
  <c r="V13" i="29" s="1"/>
  <c r="Q7" i="29"/>
  <c r="R7" i="29" s="1"/>
  <c r="Q8" i="29"/>
  <c r="R8" i="29" s="1"/>
  <c r="Q9" i="29"/>
  <c r="Q10" i="29"/>
  <c r="R10" i="29" s="1"/>
  <c r="Q11" i="29"/>
  <c r="R11" i="29" s="1"/>
  <c r="Q12" i="29"/>
  <c r="R12" i="29" s="1"/>
  <c r="Q13" i="29"/>
  <c r="R13" i="29" s="1"/>
  <c r="I10" i="29"/>
  <c r="J10" i="29" s="1"/>
  <c r="I11" i="29"/>
  <c r="J11" i="29" s="1"/>
  <c r="I12" i="29"/>
  <c r="I13" i="29"/>
  <c r="AS7" i="29"/>
  <c r="AS8" i="29"/>
  <c r="AT8" i="29" s="1"/>
  <c r="AS9" i="29"/>
  <c r="AT9" i="29" s="1"/>
  <c r="AS10" i="29"/>
  <c r="AS11" i="29"/>
  <c r="AS12" i="29"/>
  <c r="AS13" i="29"/>
  <c r="AW7" i="29"/>
  <c r="AX7" i="29" s="1"/>
  <c r="AW8" i="29"/>
  <c r="AX8" i="29" s="1"/>
  <c r="AW9" i="29"/>
  <c r="AX9" i="29" s="1"/>
  <c r="AW10" i="29"/>
  <c r="AW11" i="29"/>
  <c r="AW12" i="29"/>
  <c r="AW13" i="29"/>
  <c r="BA7" i="29"/>
  <c r="BB7" i="29" s="1"/>
  <c r="BA8" i="29"/>
  <c r="BB8" i="29" s="1"/>
  <c r="BA9" i="29"/>
  <c r="BB9" i="29" s="1"/>
  <c r="BA10" i="29"/>
  <c r="BA11" i="29"/>
  <c r="BA12" i="29"/>
  <c r="BA13" i="29"/>
  <c r="BE7" i="29"/>
  <c r="BF7" i="29" s="1"/>
  <c r="BI7" i="29"/>
  <c r="BJ7" i="29" s="1"/>
  <c r="BI8" i="29"/>
  <c r="BJ8" i="29" s="1"/>
  <c r="BI9" i="29"/>
  <c r="BJ9" i="29" s="1"/>
  <c r="BI10" i="29"/>
  <c r="BI11" i="29"/>
  <c r="BI13" i="29"/>
  <c r="BM7" i="29"/>
  <c r="BN7" i="29" s="1"/>
  <c r="BM8" i="29"/>
  <c r="BN8" i="29" s="1"/>
  <c r="BM9" i="29"/>
  <c r="BN9" i="29" s="1"/>
  <c r="BM10" i="29"/>
  <c r="BM11" i="29"/>
  <c r="BM12" i="29"/>
  <c r="BM13" i="29"/>
  <c r="AO7" i="29"/>
  <c r="AP7" i="29" s="1"/>
  <c r="AO8" i="29"/>
  <c r="AP8" i="29" s="1"/>
  <c r="AO9" i="29"/>
  <c r="AP9" i="29" s="1"/>
  <c r="AO10" i="29"/>
  <c r="AO11" i="29"/>
  <c r="AO12" i="29"/>
  <c r="AO13" i="29"/>
  <c r="E10" i="29"/>
  <c r="F10" i="29" s="1"/>
  <c r="E11" i="29"/>
  <c r="F11" i="29" s="1"/>
  <c r="E12" i="29"/>
  <c r="F12" i="29" s="1"/>
  <c r="E13" i="29"/>
  <c r="F13" i="29" s="1"/>
  <c r="AH10" i="29"/>
  <c r="J12" i="29"/>
  <c r="J13" i="29"/>
  <c r="E6" i="26"/>
  <c r="Q19" i="26"/>
  <c r="R19" i="26" s="1"/>
  <c r="Q20" i="26"/>
  <c r="R20" i="26" s="1"/>
  <c r="Q21" i="26"/>
  <c r="R21" i="26" s="1"/>
  <c r="Q22" i="26"/>
  <c r="R22" i="26" s="1"/>
  <c r="Q23" i="26"/>
  <c r="R23" i="26" s="1"/>
  <c r="Q24" i="26"/>
  <c r="R24" i="26" s="1"/>
  <c r="Q25" i="26"/>
  <c r="R25" i="26" s="1"/>
  <c r="M19" i="26"/>
  <c r="N19" i="26" s="1"/>
  <c r="M20" i="26"/>
  <c r="M21" i="26"/>
  <c r="N21" i="26" s="1"/>
  <c r="M22" i="26"/>
  <c r="N22" i="26" s="1"/>
  <c r="M23" i="26"/>
  <c r="N23" i="26" s="1"/>
  <c r="M24" i="26"/>
  <c r="N24" i="26" s="1"/>
  <c r="M25" i="26"/>
  <c r="N25" i="26" s="1"/>
  <c r="I19" i="26"/>
  <c r="J19" i="26" s="1"/>
  <c r="I20" i="26"/>
  <c r="J20" i="26" s="1"/>
  <c r="I21" i="26"/>
  <c r="J21" i="26" s="1"/>
  <c r="I22" i="26"/>
  <c r="J22" i="26" s="1"/>
  <c r="I23" i="26"/>
  <c r="J23" i="26" s="1"/>
  <c r="I24" i="26"/>
  <c r="J24" i="26" s="1"/>
  <c r="I25" i="26"/>
  <c r="J25" i="26" s="1"/>
  <c r="E19" i="26"/>
  <c r="F19" i="26" s="1"/>
  <c r="E20" i="26"/>
  <c r="F20" i="26" s="1"/>
  <c r="E21" i="26"/>
  <c r="F21" i="26" s="1"/>
  <c r="E22" i="26"/>
  <c r="F22" i="26" s="1"/>
  <c r="E23" i="26"/>
  <c r="F23" i="26" s="1"/>
  <c r="E24" i="26"/>
  <c r="F24" i="26" s="1"/>
  <c r="E25" i="26"/>
  <c r="F25" i="26" s="1"/>
  <c r="I6" i="26"/>
  <c r="J6" i="26" s="1"/>
  <c r="Q7" i="26"/>
  <c r="R7" i="26" s="1"/>
  <c r="Q8" i="26"/>
  <c r="R8" i="26" s="1"/>
  <c r="Q9" i="26"/>
  <c r="R9" i="26" s="1"/>
  <c r="Q10" i="26"/>
  <c r="R10" i="26" s="1"/>
  <c r="Q11" i="26"/>
  <c r="R11" i="26" s="1"/>
  <c r="Q12" i="26"/>
  <c r="R12" i="26" s="1"/>
  <c r="Q13" i="26"/>
  <c r="R13" i="26" s="1"/>
  <c r="M7" i="26"/>
  <c r="N7" i="26" s="1"/>
  <c r="M8" i="26"/>
  <c r="N8" i="26" s="1"/>
  <c r="M9" i="26"/>
  <c r="N9" i="26" s="1"/>
  <c r="M10" i="26"/>
  <c r="N10" i="26" s="1"/>
  <c r="M11" i="26"/>
  <c r="N11" i="26" s="1"/>
  <c r="M12" i="26"/>
  <c r="N12" i="26" s="1"/>
  <c r="M13" i="26"/>
  <c r="N13" i="26" s="1"/>
  <c r="I10" i="26"/>
  <c r="J10" i="26" s="1"/>
  <c r="I11" i="26"/>
  <c r="J11" i="26" s="1"/>
  <c r="I12" i="26"/>
  <c r="J12" i="26" s="1"/>
  <c r="I13" i="26"/>
  <c r="J13" i="26" s="1"/>
  <c r="E9" i="26"/>
  <c r="E10" i="26"/>
  <c r="E11" i="26"/>
  <c r="E12" i="26"/>
  <c r="E13" i="26"/>
  <c r="E7" i="26"/>
  <c r="M10" i="7"/>
  <c r="M11" i="7"/>
  <c r="M12" i="7"/>
  <c r="L10" i="7"/>
  <c r="L11" i="7"/>
  <c r="L12" i="7"/>
  <c r="M25" i="7"/>
  <c r="L25" i="7"/>
  <c r="P25" i="7" s="1"/>
  <c r="D38" i="7"/>
  <c r="D39" i="7"/>
  <c r="D40" i="7"/>
  <c r="C38" i="7"/>
  <c r="C39" i="7"/>
  <c r="C40" i="7"/>
  <c r="D25" i="7"/>
  <c r="D26" i="7"/>
  <c r="D27" i="7"/>
  <c r="C25" i="7"/>
  <c r="C26" i="7"/>
  <c r="C27" i="7"/>
  <c r="D10" i="7"/>
  <c r="D11" i="7"/>
  <c r="D12" i="7"/>
  <c r="C10" i="7"/>
  <c r="C11" i="7"/>
  <c r="C12" i="7"/>
  <c r="BQ9" i="30"/>
  <c r="BR9" i="30" s="1"/>
  <c r="BM9" i="30"/>
  <c r="BN9" i="30" s="1"/>
  <c r="BJ9" i="30"/>
  <c r="BI9" i="30"/>
  <c r="BE9" i="30"/>
  <c r="BF9" i="30" s="1"/>
  <c r="BB9" i="30"/>
  <c r="BA9" i="30"/>
  <c r="AW9" i="30"/>
  <c r="AX9" i="30" s="1"/>
  <c r="AS9" i="30"/>
  <c r="AT9" i="30" s="1"/>
  <c r="AO9" i="30"/>
  <c r="AP9" i="30" s="1"/>
  <c r="AK9" i="30"/>
  <c r="AL9" i="30" s="1"/>
  <c r="AH9" i="30"/>
  <c r="AG9" i="30"/>
  <c r="AC9" i="30"/>
  <c r="AD9" i="30" s="1"/>
  <c r="Z9" i="30"/>
  <c r="Y9" i="30"/>
  <c r="U9" i="30"/>
  <c r="V9" i="30" s="1"/>
  <c r="Q9" i="30"/>
  <c r="R9" i="30" s="1"/>
  <c r="M9" i="30"/>
  <c r="N9" i="30" s="1"/>
  <c r="I9" i="30"/>
  <c r="J9" i="30" s="1"/>
  <c r="F9" i="30"/>
  <c r="E9" i="30"/>
  <c r="BQ8" i="30"/>
  <c r="BR8" i="30" s="1"/>
  <c r="BN8" i="30"/>
  <c r="BM8" i="30"/>
  <c r="BI8" i="30"/>
  <c r="BJ8" i="30" s="1"/>
  <c r="BE8" i="30"/>
  <c r="BF8" i="30" s="1"/>
  <c r="BA8" i="30"/>
  <c r="BB8" i="30" s="1"/>
  <c r="AW8" i="30"/>
  <c r="AX8" i="30" s="1"/>
  <c r="AT8" i="30"/>
  <c r="AS8" i="30"/>
  <c r="AO8" i="30"/>
  <c r="AP8" i="30" s="1"/>
  <c r="AL8" i="30"/>
  <c r="AK8" i="30"/>
  <c r="AG8" i="30"/>
  <c r="AH8" i="30" s="1"/>
  <c r="AC8" i="30"/>
  <c r="AD8" i="30" s="1"/>
  <c r="Y8" i="30"/>
  <c r="Z8" i="30" s="1"/>
  <c r="U8" i="30"/>
  <c r="V8" i="30" s="1"/>
  <c r="R8" i="30"/>
  <c r="Q8" i="30"/>
  <c r="M8" i="30"/>
  <c r="N8" i="30" s="1"/>
  <c r="J8" i="30"/>
  <c r="I8" i="30"/>
  <c r="E8" i="30"/>
  <c r="F8" i="30" s="1"/>
  <c r="BQ7" i="30"/>
  <c r="BR7" i="30" s="1"/>
  <c r="BM7" i="30"/>
  <c r="BN7" i="30" s="1"/>
  <c r="BI7" i="30"/>
  <c r="BJ7" i="30" s="1"/>
  <c r="BF7" i="30"/>
  <c r="BE7" i="30"/>
  <c r="BA7" i="30"/>
  <c r="BB7" i="30" s="1"/>
  <c r="AX7" i="30"/>
  <c r="AW7" i="30"/>
  <c r="AS7" i="30"/>
  <c r="AT7" i="30" s="1"/>
  <c r="AO7" i="30"/>
  <c r="AP7" i="30" s="1"/>
  <c r="AK7" i="30"/>
  <c r="AL7" i="30" s="1"/>
  <c r="AG7" i="30"/>
  <c r="AH7" i="30" s="1"/>
  <c r="AD7" i="30"/>
  <c r="AC7" i="30"/>
  <c r="Y7" i="30"/>
  <c r="Z7" i="30" s="1"/>
  <c r="V7" i="30"/>
  <c r="U7" i="30"/>
  <c r="Q7" i="30"/>
  <c r="R7" i="30" s="1"/>
  <c r="M7" i="30"/>
  <c r="N7" i="30" s="1"/>
  <c r="I7" i="30"/>
  <c r="J7" i="30" s="1"/>
  <c r="E7" i="30"/>
  <c r="F7" i="30" s="1"/>
  <c r="BR6" i="30"/>
  <c r="BQ6" i="30"/>
  <c r="BM6" i="30"/>
  <c r="BN6" i="30" s="1"/>
  <c r="BJ6" i="30"/>
  <c r="BI6" i="30"/>
  <c r="BE6" i="30"/>
  <c r="BF6" i="30" s="1"/>
  <c r="BA6" i="30"/>
  <c r="BB6" i="30" s="1"/>
  <c r="AW6" i="30"/>
  <c r="AX6" i="30" s="1"/>
  <c r="AS6" i="30"/>
  <c r="AT6" i="30" s="1"/>
  <c r="AP6" i="30"/>
  <c r="AO6" i="30"/>
  <c r="AK6" i="30"/>
  <c r="AL6" i="30" s="1"/>
  <c r="AH6" i="30"/>
  <c r="AG6" i="30"/>
  <c r="AC6" i="30"/>
  <c r="AD6" i="30" s="1"/>
  <c r="Y6" i="30"/>
  <c r="Z6" i="30" s="1"/>
  <c r="U6" i="30"/>
  <c r="V6" i="30" s="1"/>
  <c r="Q6" i="30"/>
  <c r="R6" i="30" s="1"/>
  <c r="N6" i="30"/>
  <c r="M6" i="30"/>
  <c r="I6" i="30"/>
  <c r="J6" i="30" s="1"/>
  <c r="E6" i="30"/>
  <c r="F6" i="30" s="1"/>
  <c r="R9" i="29"/>
  <c r="I9" i="29"/>
  <c r="J9" i="29" s="1"/>
  <c r="E9" i="29"/>
  <c r="F9" i="29" s="1"/>
  <c r="AL8" i="29"/>
  <c r="I8" i="29"/>
  <c r="J8" i="29" s="1"/>
  <c r="E8" i="29"/>
  <c r="F8" i="29" s="1"/>
  <c r="AT7" i="29"/>
  <c r="I7" i="29"/>
  <c r="J7" i="29" s="1"/>
  <c r="E7" i="29"/>
  <c r="F7" i="29" s="1"/>
  <c r="BM6" i="29"/>
  <c r="BN6" i="29" s="1"/>
  <c r="BI6" i="29"/>
  <c r="BJ6" i="29" s="1"/>
  <c r="BE6" i="29"/>
  <c r="BF6" i="29" s="1"/>
  <c r="BA6" i="29"/>
  <c r="BB6" i="29" s="1"/>
  <c r="AW6" i="29"/>
  <c r="AX6" i="29" s="1"/>
  <c r="AS6" i="29"/>
  <c r="AT6" i="29" s="1"/>
  <c r="AO6" i="29"/>
  <c r="AP6" i="29" s="1"/>
  <c r="AK6" i="29"/>
  <c r="AL6" i="29" s="1"/>
  <c r="AG6" i="29"/>
  <c r="AH6" i="29" s="1"/>
  <c r="AC6" i="29"/>
  <c r="AD6" i="29" s="1"/>
  <c r="Y6" i="29"/>
  <c r="Z6" i="29" s="1"/>
  <c r="U6" i="29"/>
  <c r="V6" i="29" s="1"/>
  <c r="Q6" i="29"/>
  <c r="R6" i="29" s="1"/>
  <c r="N6" i="29"/>
  <c r="I6" i="29"/>
  <c r="J6" i="29" s="1"/>
  <c r="E6" i="29"/>
  <c r="F6" i="29" s="1"/>
  <c r="Q38" i="28"/>
  <c r="R38" i="28" s="1"/>
  <c r="M38" i="28"/>
  <c r="N38" i="28" s="1"/>
  <c r="I38" i="28"/>
  <c r="J38" i="28" s="1"/>
  <c r="E38" i="28"/>
  <c r="F38" i="28" s="1"/>
  <c r="Q37" i="28"/>
  <c r="R37" i="28" s="1"/>
  <c r="M37" i="28"/>
  <c r="N37" i="28" s="1"/>
  <c r="I37" i="28"/>
  <c r="J37" i="28" s="1"/>
  <c r="E37" i="28"/>
  <c r="F37" i="28" s="1"/>
  <c r="Q36" i="28"/>
  <c r="R36" i="28" s="1"/>
  <c r="M36" i="28"/>
  <c r="N36" i="28" s="1"/>
  <c r="I36" i="28"/>
  <c r="J36" i="28" s="1"/>
  <c r="E36" i="28"/>
  <c r="F36" i="28" s="1"/>
  <c r="Q35" i="28"/>
  <c r="R35" i="28" s="1"/>
  <c r="M35" i="28"/>
  <c r="N35" i="28" s="1"/>
  <c r="I35" i="28"/>
  <c r="J35" i="28" s="1"/>
  <c r="E35" i="28"/>
  <c r="F35" i="28" s="1"/>
  <c r="Q28" i="28"/>
  <c r="R28" i="28" s="1"/>
  <c r="M28" i="28"/>
  <c r="N28" i="28" s="1"/>
  <c r="I28" i="28"/>
  <c r="J28" i="28" s="1"/>
  <c r="E28" i="28"/>
  <c r="F28" i="28" s="1"/>
  <c r="Q27" i="28"/>
  <c r="R27" i="28" s="1"/>
  <c r="M27" i="28"/>
  <c r="N27" i="28" s="1"/>
  <c r="I27" i="28"/>
  <c r="J27" i="28" s="1"/>
  <c r="E27" i="28"/>
  <c r="F27" i="28" s="1"/>
  <c r="Q26" i="28"/>
  <c r="R26" i="28" s="1"/>
  <c r="M26" i="28"/>
  <c r="N26" i="28" s="1"/>
  <c r="I26" i="28"/>
  <c r="J26" i="28" s="1"/>
  <c r="E26" i="28"/>
  <c r="F26" i="28" s="1"/>
  <c r="Q25" i="28"/>
  <c r="R25" i="28" s="1"/>
  <c r="M25" i="28"/>
  <c r="N25" i="28" s="1"/>
  <c r="I25" i="28"/>
  <c r="J25" i="28" s="1"/>
  <c r="E25" i="28"/>
  <c r="F25" i="28" s="1"/>
  <c r="Q19" i="28"/>
  <c r="R19" i="28" s="1"/>
  <c r="M19" i="28"/>
  <c r="N19" i="28" s="1"/>
  <c r="I19" i="28"/>
  <c r="J19" i="28" s="1"/>
  <c r="E19" i="28"/>
  <c r="F19" i="28" s="1"/>
  <c r="Q18" i="28"/>
  <c r="R18" i="28" s="1"/>
  <c r="M18" i="28"/>
  <c r="N18" i="28" s="1"/>
  <c r="I18" i="28"/>
  <c r="J18" i="28" s="1"/>
  <c r="E18" i="28"/>
  <c r="F18" i="28" s="1"/>
  <c r="Q17" i="28"/>
  <c r="R17" i="28" s="1"/>
  <c r="M17" i="28"/>
  <c r="N17" i="28" s="1"/>
  <c r="I17" i="28"/>
  <c r="J17" i="28" s="1"/>
  <c r="E17" i="28"/>
  <c r="F17" i="28" s="1"/>
  <c r="Q16" i="28"/>
  <c r="R16" i="28" s="1"/>
  <c r="M16" i="28"/>
  <c r="N16" i="28" s="1"/>
  <c r="I16" i="28"/>
  <c r="J16" i="28" s="1"/>
  <c r="E16" i="28"/>
  <c r="F16" i="28" s="1"/>
  <c r="Q15" i="28"/>
  <c r="R15" i="28" s="1"/>
  <c r="M15" i="28"/>
  <c r="N15" i="28" s="1"/>
  <c r="I15" i="28"/>
  <c r="J15" i="28" s="1"/>
  <c r="E15" i="28"/>
  <c r="F15" i="28" s="1"/>
  <c r="Q9" i="28"/>
  <c r="R9" i="28" s="1"/>
  <c r="M9" i="28"/>
  <c r="N9" i="28" s="1"/>
  <c r="J9" i="28"/>
  <c r="E9" i="28"/>
  <c r="F9" i="28" s="1"/>
  <c r="Q8" i="28"/>
  <c r="R8" i="28" s="1"/>
  <c r="M8" i="28"/>
  <c r="N8" i="28" s="1"/>
  <c r="J8" i="28"/>
  <c r="E8" i="28"/>
  <c r="F8" i="28" s="1"/>
  <c r="Q7" i="28"/>
  <c r="R7" i="28" s="1"/>
  <c r="M7" i="28"/>
  <c r="N7" i="28" s="1"/>
  <c r="E7" i="28"/>
  <c r="F7" i="28" s="1"/>
  <c r="Q6" i="28"/>
  <c r="R6" i="28" s="1"/>
  <c r="M6" i="28"/>
  <c r="N6" i="28" s="1"/>
  <c r="J6" i="28"/>
  <c r="E6" i="28"/>
  <c r="F6" i="28" s="1"/>
  <c r="N20" i="26"/>
  <c r="Q18" i="26"/>
  <c r="R18" i="26" s="1"/>
  <c r="M18" i="26"/>
  <c r="N18" i="26" s="1"/>
  <c r="I18" i="26"/>
  <c r="J18" i="26" s="1"/>
  <c r="E18" i="26"/>
  <c r="F18" i="26" s="1"/>
  <c r="I9" i="26"/>
  <c r="J9" i="26" s="1"/>
  <c r="I8" i="26"/>
  <c r="J8" i="26" s="1"/>
  <c r="E8" i="26"/>
  <c r="F8" i="26" s="1"/>
  <c r="I7" i="26"/>
  <c r="J7" i="26" s="1"/>
  <c r="Q6" i="26"/>
  <c r="R6" i="26" s="1"/>
  <c r="M6" i="26"/>
  <c r="N6" i="26" s="1"/>
  <c r="D41" i="27"/>
  <c r="C41" i="27"/>
  <c r="F41" i="27" s="1"/>
  <c r="D40" i="27"/>
  <c r="C40" i="27"/>
  <c r="D39" i="27"/>
  <c r="C39" i="27"/>
  <c r="M25" i="27"/>
  <c r="L25" i="27"/>
  <c r="M24" i="27"/>
  <c r="L24" i="27"/>
  <c r="M23" i="27"/>
  <c r="L23" i="27"/>
  <c r="M22" i="27"/>
  <c r="L22" i="27"/>
  <c r="M21" i="27"/>
  <c r="L21" i="27"/>
  <c r="D25" i="27"/>
  <c r="C25" i="27"/>
  <c r="D24" i="27"/>
  <c r="C24" i="27"/>
  <c r="D23" i="27"/>
  <c r="C23" i="27"/>
  <c r="D22" i="27"/>
  <c r="C22" i="27"/>
  <c r="D21" i="27"/>
  <c r="C21" i="27"/>
  <c r="M9" i="27"/>
  <c r="L9" i="27"/>
  <c r="M8" i="27"/>
  <c r="L8" i="27"/>
  <c r="M7" i="27"/>
  <c r="L7" i="27"/>
  <c r="M6" i="27"/>
  <c r="L6" i="27"/>
  <c r="M5" i="27"/>
  <c r="L5" i="27"/>
  <c r="D9" i="27"/>
  <c r="C9" i="27"/>
  <c r="G9" i="27" s="1"/>
  <c r="D8" i="27"/>
  <c r="C8" i="27"/>
  <c r="G8" i="27" s="1"/>
  <c r="D7" i="27"/>
  <c r="C7" i="27"/>
  <c r="G7" i="27" s="1"/>
  <c r="D6" i="27"/>
  <c r="C6" i="27"/>
  <c r="G6" i="27" s="1"/>
  <c r="D5" i="27"/>
  <c r="C5" i="27"/>
  <c r="D37" i="7"/>
  <c r="C37" i="7"/>
  <c r="G37" i="7" s="1"/>
  <c r="D36" i="7"/>
  <c r="C36" i="7"/>
  <c r="G36" i="7" s="1"/>
  <c r="D35" i="7"/>
  <c r="C35" i="7"/>
  <c r="G35" i="7" s="1"/>
  <c r="D34" i="7"/>
  <c r="C34" i="7"/>
  <c r="G34" i="7" s="1"/>
  <c r="D33" i="7"/>
  <c r="C33" i="7"/>
  <c r="M24" i="7"/>
  <c r="L24" i="7"/>
  <c r="M23" i="7"/>
  <c r="L23" i="7"/>
  <c r="M22" i="7"/>
  <c r="L22" i="7"/>
  <c r="M21" i="7"/>
  <c r="L21" i="7"/>
  <c r="M20" i="7"/>
  <c r="L20" i="7"/>
  <c r="D24" i="7"/>
  <c r="C24" i="7"/>
  <c r="D23" i="7"/>
  <c r="C23" i="7"/>
  <c r="D22" i="7"/>
  <c r="C22" i="7"/>
  <c r="D21" i="7"/>
  <c r="C21" i="7"/>
  <c r="D20" i="7"/>
  <c r="C20" i="7"/>
  <c r="M9" i="7"/>
  <c r="L9" i="7"/>
  <c r="M8" i="7"/>
  <c r="L8" i="7"/>
  <c r="M7" i="7"/>
  <c r="L7" i="7"/>
  <c r="M6" i="7"/>
  <c r="L6" i="7"/>
  <c r="M5" i="7"/>
  <c r="L5" i="7"/>
  <c r="D9" i="7"/>
  <c r="C9" i="7"/>
  <c r="D8" i="7"/>
  <c r="C8" i="7"/>
  <c r="D7" i="7"/>
  <c r="C7" i="7"/>
  <c r="D6" i="7"/>
  <c r="C6" i="7"/>
  <c r="D5" i="7"/>
  <c r="C5" i="7"/>
  <c r="P6" i="27" l="1"/>
  <c r="G39" i="27"/>
  <c r="F39" i="27"/>
  <c r="F40" i="27"/>
  <c r="O24" i="27"/>
  <c r="G22" i="27"/>
  <c r="G24" i="27"/>
  <c r="G21" i="27"/>
  <c r="P23" i="27"/>
  <c r="G41" i="27"/>
  <c r="P5" i="27"/>
  <c r="G23" i="27"/>
  <c r="O25" i="27"/>
  <c r="G5" i="27"/>
  <c r="P7" i="27"/>
  <c r="F6" i="27"/>
  <c r="P21" i="27"/>
  <c r="P9" i="27"/>
  <c r="O22" i="27"/>
  <c r="O6" i="27"/>
  <c r="F24" i="27"/>
  <c r="P8" i="27"/>
  <c r="G25" i="27"/>
  <c r="G40" i="27"/>
  <c r="P6" i="7"/>
  <c r="G39" i="7"/>
  <c r="G38" i="7"/>
  <c r="F40" i="7"/>
  <c r="G40" i="7"/>
  <c r="G33" i="7"/>
  <c r="G26" i="7"/>
  <c r="F27" i="7"/>
  <c r="F26" i="7"/>
  <c r="F39" i="7"/>
  <c r="F12" i="7"/>
  <c r="G27" i="7"/>
  <c r="F22" i="7"/>
  <c r="F25" i="7"/>
  <c r="P12" i="7"/>
  <c r="O10" i="7"/>
  <c r="F11" i="7"/>
  <c r="F38" i="7"/>
  <c r="P11" i="7"/>
  <c r="P10" i="7"/>
  <c r="O11" i="7"/>
  <c r="G25" i="7"/>
  <c r="O12" i="7"/>
  <c r="O21" i="7"/>
  <c r="F10" i="7"/>
  <c r="O25" i="7"/>
  <c r="P9" i="7"/>
  <c r="P21" i="7"/>
  <c r="G8" i="7"/>
  <c r="P22" i="7"/>
  <c r="F37" i="7"/>
  <c r="F21" i="7"/>
  <c r="G23" i="7"/>
  <c r="G5" i="7"/>
  <c r="O7" i="7"/>
  <c r="G24" i="7"/>
  <c r="G6" i="7"/>
  <c r="O8" i="7"/>
  <c r="P20" i="7"/>
  <c r="F7" i="7"/>
  <c r="G7" i="7"/>
  <c r="P8" i="7"/>
  <c r="F20" i="7"/>
  <c r="F35" i="7"/>
  <c r="P5" i="7"/>
  <c r="O22" i="7"/>
  <c r="F36" i="7"/>
  <c r="F23" i="7"/>
  <c r="P23" i="7"/>
  <c r="P24" i="7"/>
  <c r="G9" i="7"/>
  <c r="P24" i="27"/>
  <c r="P22" i="27"/>
  <c r="P25" i="27"/>
  <c r="O23" i="27"/>
  <c r="F21" i="27"/>
  <c r="F22" i="27"/>
  <c r="F23" i="27"/>
  <c r="F25" i="27"/>
  <c r="O7" i="27"/>
  <c r="O8" i="27"/>
  <c r="O5" i="27"/>
  <c r="O9" i="27"/>
  <c r="F8" i="27"/>
  <c r="F9" i="27"/>
  <c r="F7" i="27"/>
  <c r="F5" i="27"/>
  <c r="F33" i="7"/>
  <c r="F34" i="7"/>
  <c r="O23" i="7"/>
  <c r="O20" i="7"/>
  <c r="O24" i="7"/>
  <c r="F24" i="7"/>
  <c r="G20" i="7"/>
  <c r="G22" i="7"/>
  <c r="G21" i="7"/>
  <c r="O9" i="7"/>
  <c r="P7" i="7"/>
  <c r="O5" i="7"/>
  <c r="O6" i="7"/>
  <c r="F5" i="7"/>
  <c r="F9" i="7"/>
  <c r="F6" i="7"/>
  <c r="F8" i="7"/>
  <c r="E4" i="2" l="1"/>
  <c r="C4" i="2"/>
  <c r="N4" i="2" l="1"/>
  <c r="I4" i="2" l="1"/>
  <c r="G4" i="2"/>
  <c r="M4" i="2" l="1"/>
  <c r="L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aiglstorferj</author>
    <author>Dirk Woll</author>
  </authors>
  <commentList>
    <comment ref="E13" authorId="0" shapeId="0" xr:uid="{BD56A1C9-7DEF-40EC-B83A-FA2C0C4C00BA}">
      <text>
        <r>
          <rPr>
            <b/>
            <sz val="15"/>
            <color indexed="81"/>
            <rFont val="Tahoma"/>
            <family val="2"/>
          </rPr>
          <t>griffelm:</t>
        </r>
        <r>
          <rPr>
            <sz val="15"/>
            <color indexed="81"/>
            <rFont val="Tahoma"/>
            <family val="2"/>
          </rPr>
          <t xml:space="preserve">
Marquardt-Teilenummer auf Prüfling</t>
        </r>
        <r>
          <rPr>
            <sz val="8"/>
            <color indexed="81"/>
            <rFont val="Tahoma"/>
            <family val="2"/>
          </rPr>
          <t xml:space="preserve">
</t>
        </r>
        <r>
          <rPr>
            <sz val="15"/>
            <color indexed="81"/>
            <rFont val="Tahoma"/>
            <family val="2"/>
          </rPr>
          <t xml:space="preserve">mit Profuktindex
</t>
        </r>
        <r>
          <rPr>
            <i/>
            <sz val="15"/>
            <color indexed="81"/>
            <rFont val="Tahoma"/>
            <family val="2"/>
          </rPr>
          <t>Marquardt-part number of the test sample with product index</t>
        </r>
      </text>
    </comment>
    <comment ref="E14" authorId="0" shapeId="0" xr:uid="{04A99955-5F54-473D-9CFF-145CAAE5EFE7}">
      <text>
        <r>
          <rPr>
            <b/>
            <sz val="15"/>
            <color indexed="81"/>
            <rFont val="Tahoma"/>
            <family val="2"/>
          </rPr>
          <t>griffelm:</t>
        </r>
        <r>
          <rPr>
            <sz val="15"/>
            <color indexed="81"/>
            <rFont val="Tahoma"/>
            <family val="2"/>
          </rPr>
          <t xml:space="preserve">
Marquardt-Teilenummer auf Prüfling</t>
        </r>
        <r>
          <rPr>
            <sz val="8"/>
            <color indexed="81"/>
            <rFont val="Tahoma"/>
            <family val="2"/>
          </rPr>
          <t xml:space="preserve">
</t>
        </r>
        <r>
          <rPr>
            <sz val="15"/>
            <color indexed="81"/>
            <rFont val="Tahoma"/>
            <family val="2"/>
          </rPr>
          <t xml:space="preserve">mit Profuktindex
</t>
        </r>
        <r>
          <rPr>
            <i/>
            <sz val="15"/>
            <color indexed="81"/>
            <rFont val="Tahoma"/>
            <family val="2"/>
          </rPr>
          <t>Marquardt-part number of the test sample with product index</t>
        </r>
      </text>
    </comment>
    <comment ref="A22" authorId="0" shapeId="0" xr:uid="{F61B9262-EA70-4409-B499-1C3263D247B3}">
      <text>
        <r>
          <rPr>
            <sz val="15"/>
            <color indexed="81"/>
            <rFont val="Tahoma"/>
            <family val="2"/>
          </rPr>
          <t xml:space="preserve">
</t>
        </r>
        <r>
          <rPr>
            <i/>
            <sz val="15"/>
            <color indexed="81"/>
            <rFont val="Tahoma"/>
            <family val="2"/>
          </rPr>
          <t>Is the sample capable for a calibration?
Is the sample in a condition and can it be used as a golden or production sample; the meaning is here the acutal condition of the sample</t>
        </r>
      </text>
    </comment>
    <comment ref="D24" authorId="0" shapeId="0" xr:uid="{4AEEFE54-019D-4C45-99D7-9FCF53BC9018}">
      <text>
        <r>
          <rPr>
            <sz val="15"/>
            <color indexed="81"/>
            <rFont val="Tahoma"/>
            <family val="2"/>
          </rPr>
          <t xml:space="preserve">
</t>
        </r>
        <r>
          <rPr>
            <i/>
            <sz val="15"/>
            <color indexed="81"/>
            <rFont val="Tahoma"/>
            <family val="2"/>
          </rPr>
          <t>"X" if appropriate</t>
        </r>
      </text>
    </comment>
    <comment ref="H24" authorId="0" shapeId="0" xr:uid="{843E59D9-C039-4638-8101-69E6E6685F1D}">
      <text>
        <r>
          <rPr>
            <sz val="15"/>
            <color indexed="81"/>
            <rFont val="Tahoma"/>
            <family val="2"/>
          </rPr>
          <t xml:space="preserve">
</t>
        </r>
        <r>
          <rPr>
            <i/>
            <sz val="15"/>
            <color indexed="81"/>
            <rFont val="Tahoma"/>
            <family val="2"/>
          </rPr>
          <t>"X" if appropriate</t>
        </r>
      </text>
    </comment>
    <comment ref="L24" authorId="0" shapeId="0" xr:uid="{643AB796-1BEA-4102-B671-35C888F524A2}">
      <text>
        <r>
          <rPr>
            <sz val="15"/>
            <color indexed="81"/>
            <rFont val="Tahoma"/>
            <family val="2"/>
          </rPr>
          <t xml:space="preserve">
</t>
        </r>
        <r>
          <rPr>
            <i/>
            <sz val="15"/>
            <color indexed="81"/>
            <rFont val="Tahoma"/>
            <family val="2"/>
          </rPr>
          <t xml:space="preserve">
"X" if appropriate</t>
        </r>
      </text>
    </comment>
    <comment ref="E25" authorId="1" shapeId="0" xr:uid="{79E610D5-E0A0-4C26-98B6-A351400AB05A}">
      <text>
        <r>
          <rPr>
            <b/>
            <sz val="15"/>
            <color indexed="81"/>
            <rFont val="Tahoma"/>
            <family val="2"/>
          </rPr>
          <t>aiglstorferj:</t>
        </r>
        <r>
          <rPr>
            <sz val="15"/>
            <color indexed="81"/>
            <rFont val="Tahoma"/>
            <family val="2"/>
          </rPr>
          <t xml:space="preserve">
bei interner Kalibrierung: Abteilungsbezeichnung
</t>
        </r>
        <r>
          <rPr>
            <i/>
            <sz val="15"/>
            <color indexed="81"/>
            <rFont val="Tahoma"/>
            <family val="2"/>
          </rPr>
          <t>with internal calibration: name of department</t>
        </r>
      </text>
    </comment>
  </commentList>
</comments>
</file>

<file path=xl/sharedStrings.xml><?xml version="1.0" encoding="utf-8"?>
<sst xmlns="http://schemas.openxmlformats.org/spreadsheetml/2006/main" count="652" uniqueCount="146">
  <si>
    <t>i.O.</t>
  </si>
  <si>
    <t>n.i.O.</t>
  </si>
  <si>
    <t>13,5 V</t>
  </si>
  <si>
    <t>28 V</t>
  </si>
  <si>
    <t>[V]</t>
  </si>
  <si>
    <t>[%]</t>
  </si>
  <si>
    <r>
      <t>i.O.</t>
    </r>
    <r>
      <rPr>
        <sz val="12"/>
        <rFont val="Arial"/>
        <family val="2"/>
      </rPr>
      <t xml:space="preserve"> / </t>
    </r>
    <r>
      <rPr>
        <i/>
        <sz val="12"/>
        <rFont val="Arial"/>
        <family val="2"/>
      </rPr>
      <t>ok</t>
    </r>
  </si>
  <si>
    <r>
      <t xml:space="preserve">n.i.O. </t>
    </r>
    <r>
      <rPr>
        <sz val="12"/>
        <rFont val="Arial"/>
        <family val="2"/>
      </rPr>
      <t xml:space="preserve">/ </t>
    </r>
    <r>
      <rPr>
        <i/>
        <sz val="12"/>
        <rFont val="Arial"/>
        <family val="2"/>
      </rPr>
      <t>not ok</t>
    </r>
  </si>
  <si>
    <t>calibration of the inspection equipment</t>
  </si>
  <si>
    <t>measured value</t>
  </si>
  <si>
    <t>perform the voltage source calibration</t>
  </si>
  <si>
    <t>Calibration Procedure</t>
  </si>
  <si>
    <t>target value</t>
  </si>
  <si>
    <t>inspection eq. values for the voltage sources</t>
  </si>
  <si>
    <t>perform the voltage measurement calibration</t>
  </si>
  <si>
    <t>perform the current measurement calibration</t>
  </si>
  <si>
    <t>perform the current source calibration</t>
  </si>
  <si>
    <t>perform the digital output checks</t>
  </si>
  <si>
    <t>theoretical value</t>
  </si>
  <si>
    <t>corrected Value</t>
  </si>
  <si>
    <t>tolerance</t>
  </si>
  <si>
    <t>calculated value</t>
  </si>
  <si>
    <t>corrected value</t>
  </si>
  <si>
    <t>planned current
Strom</t>
  </si>
  <si>
    <t>target current at 13.5 V</t>
  </si>
  <si>
    <t>target current at 28 V
bei 28 V</t>
  </si>
  <si>
    <t>PM-Values</t>
  </si>
  <si>
    <t>measured with equipment</t>
  </si>
  <si>
    <t>Back to the calibration procedure</t>
  </si>
  <si>
    <t>valid area</t>
  </si>
  <si>
    <r>
      <t>U</t>
    </r>
    <r>
      <rPr>
        <b/>
        <vertAlign val="subscript"/>
        <sz val="8"/>
        <rFont val="Arial"/>
        <family val="2"/>
      </rPr>
      <t>batt</t>
    </r>
  </si>
  <si>
    <t>lower limit</t>
  </si>
  <si>
    <t>upper limit</t>
  </si>
  <si>
    <t>Input 1</t>
  </si>
  <si>
    <t>Input 2</t>
  </si>
  <si>
    <t>Input 3</t>
  </si>
  <si>
    <t>Input 4</t>
  </si>
  <si>
    <t>Input 6</t>
  </si>
  <si>
    <t>Input 5</t>
  </si>
  <si>
    <t>planned voltage</t>
  </si>
  <si>
    <t>reference Value</t>
  </si>
  <si>
    <t>test system value</t>
  </si>
  <si>
    <t xml:space="preserve">measuring chain voltage source VT-7001 without load Internal </t>
  </si>
  <si>
    <t>measuring chain voltage source VT-7001 without load             Supp1</t>
  </si>
  <si>
    <t>check  chain voltage detected by source VT-7001 without load             OUT1</t>
  </si>
  <si>
    <t>check  chain voltage detected by source VT-7001 without load             OUT 2</t>
  </si>
  <si>
    <t>measuring chain voltage VT 1004 1</t>
  </si>
  <si>
    <t>measuring chain voltage VT 1004 2</t>
  </si>
  <si>
    <t>measuring chain voltage VT 1004 3</t>
  </si>
  <si>
    <t>measuring chain voltage VT 2004 1</t>
  </si>
  <si>
    <t>measuring chain voltage VT 2004 2</t>
  </si>
  <si>
    <t>measuring chain voltage VT 2004 3</t>
  </si>
  <si>
    <t>measuring chain voltage VT 2004 4</t>
  </si>
  <si>
    <t>measuring chain voltage VT 2516 1</t>
  </si>
  <si>
    <t>Input 7</t>
  </si>
  <si>
    <t>Input 8</t>
  </si>
  <si>
    <t>Input 9</t>
  </si>
  <si>
    <t>Input 10</t>
  </si>
  <si>
    <t>Input 11</t>
  </si>
  <si>
    <t>Input 12</t>
  </si>
  <si>
    <t>measuring chain voltage VT 2516 2</t>
  </si>
  <si>
    <t>Input 13</t>
  </si>
  <si>
    <t>Input 14</t>
  </si>
  <si>
    <t>Input 15</t>
  </si>
  <si>
    <t>Input 16</t>
  </si>
  <si>
    <r>
      <rPr>
        <sz val="12"/>
        <rFont val="Arial"/>
        <family val="2"/>
      </rPr>
      <t xml:space="preserve">
</t>
    </r>
    <r>
      <rPr>
        <i/>
        <sz val="12"/>
        <rFont val="Arial"/>
        <family val="2"/>
      </rPr>
      <t>not serviceable</t>
    </r>
  </si>
  <si>
    <r>
      <rPr>
        <sz val="12"/>
        <rFont val="Arial"/>
        <family val="2"/>
      </rPr>
      <t xml:space="preserve">
</t>
    </r>
    <r>
      <rPr>
        <i/>
        <sz val="12"/>
        <rFont val="Arial"/>
        <family val="2"/>
      </rPr>
      <t>date of calibration</t>
    </r>
  </si>
  <si>
    <r>
      <rPr>
        <sz val="12"/>
        <rFont val="Arial"/>
        <family val="2"/>
      </rPr>
      <t xml:space="preserve">
</t>
    </r>
    <r>
      <rPr>
        <i/>
        <sz val="12"/>
        <rFont val="Arial"/>
        <family val="2"/>
      </rPr>
      <t>date of next calibration</t>
    </r>
  </si>
  <si>
    <t xml:space="preserve">To do that you've to use a calibrated measuring instrument. You've to measure the exact value of all resistor including their connecting cables.
</t>
  </si>
  <si>
    <t xml:space="preserve">Preparation: To verify that there are no line interruptions, set both voltage sources on the VT cards  to 1 V
Set the voltage sources about the test software to the target voltage values under the sheets of eash VT card. Measure the voltage between Kl.30 and Kl.31 with a calibrated voltage measuring instrument and put the measured value in the sheets . The validation will be done automatically.
</t>
  </si>
  <si>
    <t xml:space="preserve">Calibration is based on a target voltage set in the test software and a subsequent comparison with the measured voltage of the voltage channel to be calibrated.
To do this, you need to connect the output of the voltage source used to the input of the voltage channel to be calibrated. In addition, a calibrated voltage measuring instrument must also be connected to the input voltage channel. The two voltages, one from the channel read into the test software and the other from the calibrated voltage meter, should be noted under the sheet. </t>
  </si>
  <si>
    <t xml:space="preserve">To calibrate the current source, you need to place a load of resistance on it and set the corresponding current in the test software. Then measure the voltage drop across the resistor using a calibrated measuring instrument. The voltage should be noted on the sheet. The actual current will be calculated automatically and compared with the target value. </t>
  </si>
  <si>
    <t xml:space="preserve">For the calibration you’ve to impress a defined current measure this current and validate this current against the measured current of the test system (test software).
The impression of the current will be done about different resistors. These resistors had to be connected between the respective voltage source and the respective current measurement who had to be calibrated. Now you’ve to measure with a calibrated measuring instrument on the resistor the voltage drop. The voltage had to be written down under the sheet "current meas. </t>
  </si>
  <si>
    <t>The checks of the digital outputs are only to be sure if they are working well. The outputs are digital outputs which will be set about the test software. You measure the levels  them without a load on them and you confirm this with a “X” in the sheet “digital output”.</t>
  </si>
  <si>
    <t xml:space="preserve">Calibration of the equipment </t>
  </si>
  <si>
    <t>The VT calibration is done by the System Calibration Manager is a separate program that is installed together with CANoe. It can be used to manage the adjustment</t>
  </si>
  <si>
    <t xml:space="preserve">calibration </t>
  </si>
  <si>
    <t xml:space="preserve">In general, the calibration describes the process of determining the deviations of a physical quantity 
with regard to a reference.
For the VT System modules, calibration means the comparison of the current values of the physical 
quantity under consideration with the accuracy ranges of the VT System manual. This will show with 
sufficient confidence whether a VT System module complies with the specified accuracy values or not
</t>
  </si>
  <si>
    <t>Adjustment</t>
  </si>
  <si>
    <t xml:space="preserve">In general, an adjustment is considered to be an intervention on the device where a mechanical or electrical modification or a modification via software is carried out to reduce deviations. 
For VT system modules, adjustment means storing correction factors so that the new current value of a physical quantity remains within the specified deviation range for the duration of the operation. 
The new current value of a physical quantity remains within the specified deviation range throughout the entire range of values in the VT system manual. 
value range of the VT system manual. If a VT channel is within the specification after calibration, an adjustment is not necessary. 
If a VT channel is outside the specification after calibration, an adjustment must be made. </t>
  </si>
  <si>
    <t>the System Calibration Manager</t>
  </si>
  <si>
    <t>The VT System Calibration Manager is a stand-alone utility that is installed with CANoe. It allows to manage the setting of the VT system modules and to perform a self-test for specific VT system modules. This program can be launched from the CANoe menu detailed below 
below: Hardware | Tools | VT System Calibration Manager. 
In the same way as CANoe, the VT System Calibration Manager uses an ETH interface for an 
exclusive access to the VT System. The LAN cable used, must be connected directly to the 
backplane.
After a scan of the VT System, the adjustable VT System modules in the tree view of the VT System 
Calibration Manager are shown in black. VT System modules without adjustment possibilities are 
shown in grey.</t>
  </si>
  <si>
    <t>External calibration</t>
  </si>
  <si>
    <t>With the help of the external calibration, a test can be performed to show to what extent a VT System 
module and its values comply with the specified maximum deviations of the VT System manual. For 
this, a specific and limited wiring loom must be established as documented in the document 
VTSystem_Calibration_TestSpecification_EN.pdf. The document can be found in the CANoe 
installation directory, in the Doc subfolder. Below, an excerpt of this document is shown in order to 
explain the measurement setup for a channel.
The external calibration is also supported by the document VTSystem_Calibration_TestProtocol.xls
which provides a separate spreadsheet for every adjustable VT System module where measuring 
points are defined and where measured values can be entered.
The table provides, through stored tests, the information on the compliance with the specified 
deviation or on the possibly required adjustment for the tested VT System module.
If it is necessary to adjust a VT channel (VT System module), the export of the current correction 
parameters from the VT System module is required as a first step. Afterwards, the values can be 
saved as XML file with the extension *.vtparam by the VT System Calibration Manager.</t>
  </si>
  <si>
    <t>calculation of the factors</t>
  </si>
  <si>
    <t xml:space="preserve">For the calculation of the new correction factors, new measurements have to be performed; the 
existing wiring loom can be used for this. As soon as new measuring values are entered, the 
correction parameters are recalculated.
</t>
  </si>
  <si>
    <t xml:space="preserve">Calibrate the Device </t>
  </si>
  <si>
    <t>After having measured the channels of a VT System module, the new correction parameters can be 
stored in an XML file
The following import of the XML file by the VT System Calibration Manager allows the parameter 
transfer into the VT System module (see figure: Writing of new correction parameters).
The effectiveness of the measures must be ensured by a new calibration. If the measure is successful, 
the values are within the specified deviation range.</t>
  </si>
  <si>
    <t xml:space="preserve">Self adjustment </t>
  </si>
  <si>
    <t>Some of the VT System modules are provided with additional circuits to perform a self-adjustment. For 
this, the external wiring on the respective VT System module must be removed before starting the 
test. With the help of the VT System Calibration Manager, the self-adjustment which automatically 
writes new correction parameters into the corresponding VT System module can be started.</t>
  </si>
  <si>
    <t>This calibration certificate documents the traceability to national standards which realize the physical units of measurement according the International System of Units (SI). 
This calibration certificate may not be reproduced other than in full accept with the permission of the issuing laboratory.</t>
  </si>
  <si>
    <t>Bennour S.</t>
  </si>
  <si>
    <r>
      <t xml:space="preserve">
E</t>
    </r>
    <r>
      <rPr>
        <b/>
        <i/>
        <sz val="14"/>
        <rFont val="Arial"/>
        <family val="2"/>
      </rPr>
      <t>quipement-ID</t>
    </r>
  </si>
  <si>
    <t xml:space="preserve">
Name</t>
  </si>
  <si>
    <r>
      <t xml:space="preserve">
O</t>
    </r>
    <r>
      <rPr>
        <b/>
        <i/>
        <sz val="14"/>
        <rFont val="Arial"/>
        <family val="2"/>
      </rPr>
      <t>rder number</t>
    </r>
  </si>
  <si>
    <r>
      <t xml:space="preserve">
M</t>
    </r>
    <r>
      <rPr>
        <b/>
        <i/>
        <sz val="14"/>
        <rFont val="Arial"/>
        <family val="2"/>
      </rPr>
      <t>anufacturer</t>
    </r>
  </si>
  <si>
    <r>
      <t xml:space="preserve">
T</t>
    </r>
    <r>
      <rPr>
        <b/>
        <i/>
        <sz val="14"/>
        <rFont val="Arial"/>
        <family val="2"/>
      </rPr>
      <t>ype</t>
    </r>
  </si>
  <si>
    <t xml:space="preserve">
Serial no.</t>
  </si>
  <si>
    <r>
      <t xml:space="preserve">
A</t>
    </r>
    <r>
      <rPr>
        <b/>
        <i/>
        <sz val="14"/>
        <rFont val="Arial"/>
        <family val="2"/>
      </rPr>
      <t>padter no.</t>
    </r>
  </si>
  <si>
    <r>
      <t xml:space="preserve">
C</t>
    </r>
    <r>
      <rPr>
        <b/>
        <i/>
        <sz val="14"/>
        <rFont val="Arial"/>
        <family val="2"/>
      </rPr>
      <t>ost center</t>
    </r>
  </si>
  <si>
    <r>
      <t xml:space="preserve">
L</t>
    </r>
    <r>
      <rPr>
        <b/>
        <i/>
        <sz val="14"/>
        <rFont val="Arial"/>
        <family val="2"/>
      </rPr>
      <t>ocation</t>
    </r>
  </si>
  <si>
    <r>
      <t xml:space="preserve">
T</t>
    </r>
    <r>
      <rPr>
        <b/>
        <i/>
        <sz val="14"/>
        <rFont val="Arial"/>
        <family val="2"/>
      </rPr>
      <t>est sample</t>
    </r>
  </si>
  <si>
    <r>
      <t xml:space="preserve">
C</t>
    </r>
    <r>
      <rPr>
        <b/>
        <i/>
        <sz val="14"/>
        <rFont val="Arial"/>
        <family val="2"/>
      </rPr>
      <t>alibration intrucion</t>
    </r>
  </si>
  <si>
    <r>
      <t xml:space="preserve">
Name:</t>
    </r>
    <r>
      <rPr>
        <sz val="12"/>
        <rFont val="Arial"/>
        <family val="2"/>
      </rPr>
      <t xml:space="preserve">
</t>
    </r>
  </si>
  <si>
    <r>
      <t xml:space="preserve">
D</t>
    </r>
    <r>
      <rPr>
        <b/>
        <i/>
        <sz val="12"/>
        <rFont val="Arial"/>
        <family val="2"/>
      </rPr>
      <t>ep.</t>
    </r>
  </si>
  <si>
    <r>
      <t xml:space="preserve">
A</t>
    </r>
    <r>
      <rPr>
        <b/>
        <i/>
        <sz val="12"/>
        <rFont val="Arial"/>
        <family val="2"/>
      </rPr>
      <t xml:space="preserve">ssessement </t>
    </r>
  </si>
  <si>
    <r>
      <t xml:space="preserve">
</t>
    </r>
    <r>
      <rPr>
        <b/>
        <i/>
        <sz val="12"/>
        <rFont val="Arial"/>
        <family val="2"/>
      </rPr>
      <t>Person in Charge</t>
    </r>
  </si>
  <si>
    <r>
      <t xml:space="preserve">
D</t>
    </r>
    <r>
      <rPr>
        <b/>
        <i/>
        <sz val="12"/>
        <rFont val="Arial"/>
        <family val="2"/>
      </rPr>
      <t>elivery condition</t>
    </r>
  </si>
  <si>
    <r>
      <t xml:space="preserve"> S</t>
    </r>
    <r>
      <rPr>
        <b/>
        <i/>
        <sz val="12"/>
        <rFont val="Arial"/>
        <family val="2"/>
      </rPr>
      <t>erviceable</t>
    </r>
  </si>
  <si>
    <r>
      <t xml:space="preserve">
</t>
    </r>
    <r>
      <rPr>
        <b/>
        <i/>
        <sz val="12"/>
        <rFont val="Arial"/>
        <family val="2"/>
      </rPr>
      <t>Head of calibration dep.</t>
    </r>
  </si>
  <si>
    <r>
      <t xml:space="preserve">
C</t>
    </r>
    <r>
      <rPr>
        <b/>
        <i/>
        <sz val="12"/>
        <rFont val="Arial"/>
        <family val="2"/>
      </rPr>
      <t>onditional serviceable</t>
    </r>
  </si>
  <si>
    <t>MAT</t>
  </si>
  <si>
    <r>
      <t>I</t>
    </r>
    <r>
      <rPr>
        <b/>
        <i/>
        <sz val="16"/>
        <rFont val="Arial"/>
        <family val="2"/>
      </rPr>
      <t>n-company calibration certificate</t>
    </r>
  </si>
  <si>
    <t>-</t>
  </si>
  <si>
    <t>measuring chain voltage VT 2816 1</t>
  </si>
  <si>
    <t>RD-TU</t>
  </si>
  <si>
    <r>
      <rPr>
        <b/>
        <sz val="9"/>
        <rFont val="Arial"/>
        <family val="2"/>
      </rPr>
      <t>Elab</t>
    </r>
    <r>
      <rPr>
        <sz val="9"/>
        <rFont val="Arial"/>
        <family val="2"/>
      </rPr>
      <t>: JBELI.A_ 16.07.2025</t>
    </r>
  </si>
  <si>
    <t xml:space="preserve"> Decision</t>
  </si>
  <si>
    <t>RDT-TU</t>
  </si>
  <si>
    <t>___</t>
  </si>
  <si>
    <t>X</t>
  </si>
  <si>
    <t xml:space="preserve">Voltage measurement tool </t>
  </si>
  <si>
    <t xml:space="preserve">Instrument </t>
  </si>
  <si>
    <t xml:space="preserve">Unites </t>
  </si>
  <si>
    <t>SAP N°</t>
  </si>
  <si>
    <t xml:space="preserve">keithley </t>
  </si>
  <si>
    <t>Type</t>
  </si>
  <si>
    <t xml:space="preserve">Voltage /current </t>
  </si>
  <si>
    <t>400.0036.165</t>
  </si>
  <si>
    <t>keysight U1241B</t>
  </si>
  <si>
    <t xml:space="preserve">Temperature </t>
  </si>
  <si>
    <t>°C</t>
  </si>
  <si>
    <t>K</t>
  </si>
  <si>
    <t>298.15</t>
  </si>
  <si>
    <t xml:space="preserve">Marquardt </t>
  </si>
  <si>
    <t>203006</t>
  </si>
  <si>
    <t xml:space="preserve">Humidity  </t>
  </si>
  <si>
    <t>Humidity  %</t>
  </si>
  <si>
    <t>measuring chain voltage source VT-7001 without load supp1</t>
  </si>
  <si>
    <t>measuring chain voltage source VT-7001 without load Supp2</t>
  </si>
  <si>
    <t>measuring chain voltage source VT-7001 without load             internal</t>
  </si>
  <si>
    <t xml:space="preserve">Oussema Abidi </t>
  </si>
  <si>
    <t>09.06.2026</t>
  </si>
  <si>
    <t>05-2027</t>
  </si>
  <si>
    <t>VT Hil 32</t>
  </si>
  <si>
    <t>4000040566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</si>
</sst>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00000&quot; A&quot;"/>
    <numFmt numFmtId="165" formatCode="0&quot; Ohm&quot;"/>
    <numFmt numFmtId="166" formatCode="0.000&quot; Ohm&quot;"/>
    <numFmt numFmtId="167" formatCode="0.000&quot; V&quot;"/>
    <numFmt numFmtId="168" formatCode="0&quot; V&quot;"/>
    <numFmt numFmtId="169" formatCode="0.000000&quot; A&quot;"/>
    <numFmt numFmtId="170" formatCode="General\ &quot;Ohm&quot;"/>
    <numFmt numFmtId="171" formatCode="General\ &quot;V&quot;"/>
    <numFmt numFmtId="172" formatCode="0.000"/>
  </numFmts>
  <fonts count="31" x14ac:knownFonts="1">
    <font>
      <sz val="10"/>
      <name val="Arial"/>
    </font>
    <font>
      <sz val="8"/>
      <name val="Arial"/>
      <family val="2"/>
    </font>
    <font>
      <b/>
      <sz val="10"/>
      <name val="Arial"/>
      <family val="2"/>
    </font>
    <font>
      <u/>
      <sz val="10"/>
      <color indexed="12"/>
      <name val="Arial"/>
      <family val="2"/>
    </font>
    <font>
      <sz val="8"/>
      <name val="Arial"/>
      <family val="2"/>
    </font>
    <font>
      <sz val="10"/>
      <name val="Arial"/>
      <family val="2"/>
    </font>
    <font>
      <b/>
      <sz val="9"/>
      <name val="Arial"/>
      <family val="2"/>
    </font>
    <font>
      <b/>
      <sz val="12"/>
      <name val="Arial"/>
      <family val="2"/>
    </font>
    <font>
      <b/>
      <sz val="8"/>
      <name val="Arial"/>
      <family val="2"/>
    </font>
    <font>
      <b/>
      <sz val="16"/>
      <name val="Arial"/>
      <family val="2"/>
    </font>
    <font>
      <b/>
      <vertAlign val="subscript"/>
      <sz val="8"/>
      <name val="Arial"/>
      <family val="2"/>
    </font>
    <font>
      <sz val="8"/>
      <name val="Arial"/>
      <family val="2"/>
    </font>
    <font>
      <sz val="20"/>
      <name val="Arial"/>
      <family val="2"/>
    </font>
    <font>
      <b/>
      <sz val="14"/>
      <name val="Arial"/>
      <family val="2"/>
    </font>
    <font>
      <sz val="16"/>
      <name val="Arial"/>
      <family val="2"/>
    </font>
    <font>
      <i/>
      <sz val="16"/>
      <name val="Arial"/>
      <family val="2"/>
    </font>
    <font>
      <b/>
      <sz val="30"/>
      <name val="Arial"/>
      <family val="2"/>
    </font>
    <font>
      <sz val="12"/>
      <name val="Arial"/>
      <family val="2"/>
    </font>
    <font>
      <i/>
      <sz val="12"/>
      <name val="Arial"/>
      <family val="2"/>
    </font>
    <font>
      <b/>
      <sz val="15"/>
      <color indexed="81"/>
      <name val="Tahoma"/>
      <family val="2"/>
    </font>
    <font>
      <sz val="15"/>
      <color indexed="81"/>
      <name val="Tahoma"/>
      <family val="2"/>
    </font>
    <font>
      <i/>
      <sz val="15"/>
      <color indexed="81"/>
      <name val="Tahoma"/>
      <family val="2"/>
    </font>
    <font>
      <sz val="8"/>
      <color indexed="81"/>
      <name val="Tahoma"/>
      <family val="2"/>
    </font>
    <font>
      <b/>
      <sz val="18"/>
      <color rgb="FFFF0000"/>
      <name val="Arial"/>
      <family val="2"/>
    </font>
    <font>
      <sz val="8"/>
      <name val="Arial"/>
      <family val="2"/>
    </font>
    <font>
      <b/>
      <i/>
      <sz val="14"/>
      <name val="Arial"/>
      <family val="2"/>
    </font>
    <font>
      <b/>
      <i/>
      <sz val="12"/>
      <name val="Arial"/>
      <family val="2"/>
    </font>
    <font>
      <b/>
      <sz val="18"/>
      <name val="Arial"/>
      <family val="2"/>
    </font>
    <font>
      <b/>
      <i/>
      <sz val="16"/>
      <name val="Arial"/>
      <family val="2"/>
    </font>
    <font>
      <u/>
      <sz val="10"/>
      <name val="Arial"/>
      <family val="2"/>
    </font>
    <font>
      <sz val="9"/>
      <name val="Arial"/>
      <family val="2"/>
    </font>
  </fonts>
  <fills count="7">
    <fill>
      <patternFill patternType="none"/>
    </fill>
    <fill>
      <patternFill patternType="gray125"/>
    </fill>
    <fill>
      <patternFill patternType="solid">
        <fgColor indexed="9"/>
        <bgColor indexed="64"/>
      </patternFill>
    </fill>
    <fill>
      <patternFill patternType="gray0625">
        <fgColor indexed="22"/>
        <bgColor indexed="9"/>
      </patternFill>
    </fill>
    <fill>
      <patternFill patternType="solid">
        <fgColor theme="0"/>
        <bgColor indexed="64"/>
      </patternFill>
    </fill>
    <fill>
      <patternFill patternType="solid">
        <fgColor indexed="22"/>
        <bgColor indexed="64"/>
      </patternFill>
    </fill>
    <fill>
      <patternFill patternType="solid">
        <fgColor theme="2" tint="-0.249977111117893"/>
        <bgColor indexed="64"/>
      </patternFill>
    </fill>
  </fills>
  <borders count="75">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thin">
        <color indexed="64"/>
      </left>
      <right style="double">
        <color indexed="64"/>
      </right>
      <top style="thin">
        <color indexed="64"/>
      </top>
      <bottom style="thin">
        <color indexed="64"/>
      </bottom>
      <diagonal/>
    </border>
    <border>
      <left/>
      <right style="thin">
        <color indexed="64"/>
      </right>
      <top style="medium">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double">
        <color indexed="64"/>
      </right>
      <top/>
      <bottom/>
      <diagonal/>
    </border>
    <border>
      <left style="medium">
        <color indexed="64"/>
      </left>
      <right style="thin">
        <color indexed="64"/>
      </right>
      <top/>
      <bottom/>
      <diagonal/>
    </border>
    <border>
      <left/>
      <right style="thin">
        <color indexed="64"/>
      </right>
      <top/>
      <bottom/>
      <diagonal/>
    </border>
    <border>
      <left style="thin">
        <color indexed="64"/>
      </left>
      <right style="double">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top/>
      <bottom style="thin">
        <color indexed="64"/>
      </bottom>
      <diagonal/>
    </border>
    <border>
      <left style="thin">
        <color indexed="64"/>
      </left>
      <right style="thin">
        <color indexed="64"/>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double">
        <color indexed="64"/>
      </right>
      <top style="medium">
        <color indexed="64"/>
      </top>
      <bottom/>
      <diagonal/>
    </border>
    <border>
      <left style="thin">
        <color indexed="64"/>
      </left>
      <right style="double">
        <color indexed="64"/>
      </right>
      <top style="medium">
        <color indexed="64"/>
      </top>
      <bottom style="thin">
        <color indexed="64"/>
      </bottom>
      <diagonal/>
    </border>
    <border>
      <left/>
      <right style="medium">
        <color indexed="64"/>
      </right>
      <top/>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double">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diagonal/>
    </border>
  </borders>
  <cellStyleXfs count="3">
    <xf numFmtId="0" fontId="0" fillId="0" borderId="0"/>
    <xf numFmtId="0" fontId="3" fillId="0" borderId="0" applyNumberFormat="0" applyFill="0" applyBorder="0" applyAlignment="0" applyProtection="0">
      <alignment vertical="top"/>
      <protection locked="0"/>
    </xf>
    <xf numFmtId="0" fontId="5" fillId="0" borderId="0"/>
  </cellStyleXfs>
  <cellXfs count="311">
    <xf numFmtId="0" fontId="0" fillId="0" borderId="0" xfId="0"/>
    <xf numFmtId="0" fontId="6" fillId="0" borderId="0" xfId="0" applyFont="1" applyFill="1" applyBorder="1" applyAlignment="1">
      <alignment vertical="top" wrapText="1"/>
    </xf>
    <xf numFmtId="0" fontId="0" fillId="0" borderId="0" xfId="0" applyAlignment="1">
      <alignment vertical="top" wrapText="1"/>
    </xf>
    <xf numFmtId="0" fontId="8" fillId="0" borderId="8" xfId="0" applyFont="1" applyFill="1" applyBorder="1" applyAlignment="1">
      <alignment wrapText="1"/>
    </xf>
    <xf numFmtId="166" fontId="4" fillId="0" borderId="0" xfId="0" applyNumberFormat="1" applyFont="1" applyBorder="1" applyAlignment="1">
      <alignment horizontal="center" vertical="center" wrapText="1"/>
    </xf>
    <xf numFmtId="164" fontId="4" fillId="0" borderId="0" xfId="0" applyNumberFormat="1" applyFont="1" applyFill="1" applyBorder="1" applyAlignment="1">
      <alignment horizontal="center" vertical="center" wrapText="1"/>
    </xf>
    <xf numFmtId="164" fontId="4" fillId="0" borderId="0" xfId="0" applyNumberFormat="1" applyFont="1" applyBorder="1" applyAlignment="1">
      <alignment horizontal="center" vertical="center" wrapText="1"/>
    </xf>
    <xf numFmtId="0" fontId="4" fillId="0" borderId="0" xfId="0" applyFont="1" applyBorder="1" applyAlignment="1">
      <alignment wrapText="1"/>
    </xf>
    <xf numFmtId="0" fontId="0" fillId="0" borderId="0" xfId="0" applyAlignment="1">
      <alignment horizontal="left"/>
    </xf>
    <xf numFmtId="0" fontId="8" fillId="0" borderId="0" xfId="0" applyFont="1" applyFill="1" applyBorder="1" applyAlignment="1">
      <alignment horizontal="center" wrapText="1"/>
    </xf>
    <xf numFmtId="0" fontId="8" fillId="0" borderId="0" xfId="0" applyFont="1" applyFill="1" applyBorder="1" applyAlignment="1">
      <alignment wrapText="1"/>
    </xf>
    <xf numFmtId="0" fontId="7" fillId="0" borderId="0" xfId="0" applyFont="1" applyFill="1" applyBorder="1" applyAlignment="1">
      <alignment wrapText="1"/>
    </xf>
    <xf numFmtId="171" fontId="8" fillId="0" borderId="0" xfId="0" applyNumberFormat="1" applyFont="1" applyFill="1" applyBorder="1" applyAlignment="1" applyProtection="1">
      <alignment horizontal="center" wrapText="1"/>
      <protection locked="0"/>
    </xf>
    <xf numFmtId="166" fontId="1" fillId="0" borderId="0" xfId="0" applyNumberFormat="1" applyFont="1" applyFill="1" applyBorder="1" applyAlignment="1">
      <alignment horizontal="center" vertical="center" wrapText="1"/>
    </xf>
    <xf numFmtId="0" fontId="8" fillId="0" borderId="0" xfId="0" applyFont="1" applyFill="1" applyBorder="1" applyAlignment="1">
      <alignment horizontal="center" vertical="center" wrapText="1"/>
    </xf>
    <xf numFmtId="170" fontId="4" fillId="0" borderId="0" xfId="0" applyNumberFormat="1" applyFont="1" applyFill="1" applyBorder="1" applyAlignment="1">
      <alignment horizontal="center" vertical="center" wrapText="1"/>
    </xf>
    <xf numFmtId="170" fontId="11" fillId="0" borderId="0" xfId="0" applyNumberFormat="1" applyFont="1" applyFill="1" applyBorder="1" applyAlignment="1">
      <alignment horizontal="center" vertical="center"/>
    </xf>
    <xf numFmtId="165" fontId="1" fillId="0" borderId="0" xfId="0" applyNumberFormat="1" applyFont="1" applyFill="1" applyBorder="1" applyAlignment="1">
      <alignment horizontal="center" vertical="center" wrapText="1"/>
    </xf>
    <xf numFmtId="169" fontId="4" fillId="0" borderId="0" xfId="0" applyNumberFormat="1" applyFont="1" applyFill="1" applyBorder="1" applyAlignment="1">
      <alignment horizontal="center" vertical="center" wrapText="1"/>
    </xf>
    <xf numFmtId="171" fontId="0" fillId="0" borderId="0" xfId="0" applyNumberFormat="1"/>
    <xf numFmtId="0" fontId="5" fillId="0" borderId="0" xfId="0" applyFont="1"/>
    <xf numFmtId="0" fontId="12" fillId="0" borderId="0" xfId="2" applyFont="1"/>
    <xf numFmtId="0" fontId="5" fillId="0" borderId="0" xfId="2"/>
    <xf numFmtId="0" fontId="12" fillId="0" borderId="0" xfId="2" applyFont="1" applyAlignment="1"/>
    <xf numFmtId="0" fontId="7" fillId="0" borderId="38" xfId="2" applyFont="1" applyBorder="1" applyAlignment="1">
      <alignment horizontal="right" vertical="center"/>
    </xf>
    <xf numFmtId="0" fontId="17" fillId="0" borderId="39" xfId="2" applyFont="1" applyBorder="1" applyAlignment="1" applyProtection="1">
      <alignment horizontal="center" vertical="center"/>
      <protection locked="0"/>
    </xf>
    <xf numFmtId="0" fontId="17" fillId="2" borderId="14" xfId="2" applyFont="1" applyFill="1" applyBorder="1" applyAlignment="1" applyProtection="1">
      <alignment horizontal="center" vertical="center"/>
      <protection locked="0"/>
    </xf>
    <xf numFmtId="0" fontId="5" fillId="0" borderId="0" xfId="2" applyAlignment="1">
      <alignment vertical="center"/>
    </xf>
    <xf numFmtId="0" fontId="23" fillId="0" borderId="0" xfId="0" applyFont="1"/>
    <xf numFmtId="0" fontId="3" fillId="0" borderId="0" xfId="1" applyAlignment="1" applyProtection="1"/>
    <xf numFmtId="0" fontId="17" fillId="0" borderId="40" xfId="2" applyFont="1" applyBorder="1" applyAlignment="1">
      <alignment horizontal="center" vertical="center"/>
    </xf>
    <xf numFmtId="0" fontId="7" fillId="0" borderId="41" xfId="2" applyFont="1" applyBorder="1" applyAlignment="1">
      <alignment horizontal="left" vertical="center" wrapText="1"/>
    </xf>
    <xf numFmtId="0" fontId="17" fillId="0" borderId="36" xfId="2" applyFont="1" applyBorder="1" applyAlignment="1">
      <alignment horizontal="center" vertical="center"/>
    </xf>
    <xf numFmtId="14" fontId="17" fillId="0" borderId="42" xfId="2" applyNumberFormat="1" applyFont="1" applyBorder="1" applyAlignment="1">
      <alignment horizontal="left" vertical="center"/>
    </xf>
    <xf numFmtId="49" fontId="17" fillId="0" borderId="42" xfId="2" applyNumberFormat="1" applyFont="1" applyBorder="1" applyAlignment="1">
      <alignment horizontal="left" vertical="center"/>
    </xf>
    <xf numFmtId="0" fontId="8" fillId="4" borderId="7"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1" xfId="0" applyFont="1" applyFill="1" applyBorder="1" applyAlignment="1">
      <alignment horizontal="center" wrapText="1"/>
    </xf>
    <xf numFmtId="0" fontId="8" fillId="4" borderId="17" xfId="0" applyFont="1" applyFill="1" applyBorder="1" applyAlignment="1">
      <alignment horizontal="center" wrapText="1"/>
    </xf>
    <xf numFmtId="0" fontId="8" fillId="4" borderId="34" xfId="0" applyFont="1" applyFill="1" applyBorder="1" applyAlignment="1">
      <alignment horizontal="center" wrapText="1"/>
    </xf>
    <xf numFmtId="0" fontId="8" fillId="4" borderId="35" xfId="0" applyFont="1" applyFill="1" applyBorder="1" applyAlignment="1">
      <alignment horizontal="center" wrapText="1"/>
    </xf>
    <xf numFmtId="0" fontId="8" fillId="4" borderId="36" xfId="0" applyFont="1" applyFill="1" applyBorder="1" applyAlignment="1">
      <alignment horizontal="center" wrapText="1"/>
    </xf>
    <xf numFmtId="0" fontId="8" fillId="4" borderId="31" xfId="0" applyFont="1" applyFill="1" applyBorder="1" applyAlignment="1">
      <alignment horizontal="center" vertical="center" wrapText="1"/>
    </xf>
    <xf numFmtId="0" fontId="8" fillId="4" borderId="21" xfId="0" applyFont="1" applyFill="1" applyBorder="1" applyAlignment="1">
      <alignment horizontal="center" vertical="center" wrapText="1"/>
    </xf>
    <xf numFmtId="0" fontId="8" fillId="4" borderId="45" xfId="0" applyFont="1" applyFill="1" applyBorder="1" applyAlignment="1">
      <alignment horizontal="center" vertical="center" wrapText="1"/>
    </xf>
    <xf numFmtId="0" fontId="8" fillId="4" borderId="15" xfId="0" applyFont="1" applyFill="1" applyBorder="1" applyAlignment="1">
      <alignment horizontal="center" vertical="center" wrapText="1"/>
    </xf>
    <xf numFmtId="0" fontId="8" fillId="4" borderId="44"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16"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5" fillId="4" borderId="0" xfId="2" applyFill="1"/>
    <xf numFmtId="0" fontId="5" fillId="4" borderId="0" xfId="2" applyFill="1" applyAlignment="1">
      <alignment vertical="center"/>
    </xf>
    <xf numFmtId="0" fontId="8" fillId="4" borderId="13" xfId="2" applyFont="1" applyFill="1" applyBorder="1" applyAlignment="1">
      <alignment horizontal="center" wrapText="1"/>
    </xf>
    <xf numFmtId="0" fontId="8" fillId="4" borderId="33" xfId="2" applyFont="1" applyFill="1" applyBorder="1" applyAlignment="1">
      <alignment horizontal="center" wrapText="1"/>
    </xf>
    <xf numFmtId="0" fontId="8" fillId="4" borderId="32" xfId="2" applyFont="1" applyFill="1" applyBorder="1" applyAlignment="1">
      <alignment horizontal="center" vertical="center" wrapText="1"/>
    </xf>
    <xf numFmtId="0" fontId="8" fillId="4" borderId="21" xfId="2" applyFont="1" applyFill="1" applyBorder="1" applyAlignment="1">
      <alignment horizontal="center" vertical="center" wrapText="1"/>
    </xf>
    <xf numFmtId="0" fontId="8" fillId="4" borderId="30" xfId="2" applyFont="1" applyFill="1" applyBorder="1" applyAlignment="1">
      <alignment horizontal="center" vertical="center" wrapText="1"/>
    </xf>
    <xf numFmtId="0" fontId="5" fillId="4" borderId="5" xfId="2" applyFill="1" applyBorder="1"/>
    <xf numFmtId="0" fontId="8" fillId="4" borderId="5" xfId="2" applyFont="1" applyFill="1" applyBorder="1" applyAlignment="1">
      <alignment horizontal="center" wrapText="1"/>
    </xf>
    <xf numFmtId="0" fontId="8" fillId="4" borderId="5" xfId="2" applyFont="1" applyFill="1" applyBorder="1" applyAlignment="1">
      <alignment horizontal="center" vertical="center" wrapText="1"/>
    </xf>
    <xf numFmtId="0" fontId="8" fillId="4" borderId="14" xfId="0" applyFont="1" applyFill="1" applyBorder="1" applyAlignment="1">
      <alignment horizontal="center" vertical="center" wrapText="1"/>
    </xf>
    <xf numFmtId="170" fontId="4" fillId="4" borderId="1" xfId="0" applyNumberFormat="1" applyFont="1" applyFill="1" applyBorder="1" applyAlignment="1">
      <alignment horizontal="center" vertical="center" wrapText="1"/>
    </xf>
    <xf numFmtId="170" fontId="1" fillId="4" borderId="1" xfId="0" applyNumberFormat="1" applyFont="1" applyFill="1" applyBorder="1" applyAlignment="1">
      <alignment horizontal="center" vertical="center" wrapText="1"/>
    </xf>
    <xf numFmtId="0" fontId="4" fillId="4" borderId="11" xfId="0" applyFont="1" applyFill="1" applyBorder="1" applyAlignment="1">
      <alignment horizontal="center" vertical="center" wrapText="1"/>
    </xf>
    <xf numFmtId="0" fontId="8" fillId="4" borderId="0" xfId="0" applyFont="1" applyFill="1" applyBorder="1" applyAlignment="1">
      <alignment horizontal="center" vertical="center" wrapText="1"/>
    </xf>
    <xf numFmtId="170" fontId="4" fillId="4" borderId="0" xfId="0" applyNumberFormat="1" applyFont="1" applyFill="1" applyBorder="1" applyAlignment="1">
      <alignment horizontal="center" vertical="center" wrapText="1"/>
    </xf>
    <xf numFmtId="170" fontId="11" fillId="4" borderId="0" xfId="0" applyNumberFormat="1" applyFont="1" applyFill="1" applyBorder="1" applyAlignment="1">
      <alignment horizontal="center" vertical="center"/>
    </xf>
    <xf numFmtId="166" fontId="1" fillId="4" borderId="0" xfId="0" applyNumberFormat="1" applyFont="1" applyFill="1" applyBorder="1" applyAlignment="1">
      <alignment horizontal="center" vertical="center" wrapText="1"/>
    </xf>
    <xf numFmtId="165" fontId="1" fillId="4" borderId="0" xfId="0" applyNumberFormat="1" applyFont="1" applyFill="1" applyBorder="1" applyAlignment="1">
      <alignment horizontal="center" vertical="center" wrapText="1"/>
    </xf>
    <xf numFmtId="169" fontId="4" fillId="4" borderId="0" xfId="0" applyNumberFormat="1" applyFont="1" applyFill="1" applyBorder="1" applyAlignment="1">
      <alignment horizontal="center" vertical="center" wrapText="1"/>
    </xf>
    <xf numFmtId="0" fontId="4" fillId="4" borderId="0" xfId="0" applyFont="1" applyFill="1" applyBorder="1" applyAlignment="1">
      <alignment vertical="center" wrapText="1"/>
    </xf>
    <xf numFmtId="0" fontId="2" fillId="4" borderId="0" xfId="0" applyFont="1" applyFill="1" applyBorder="1" applyAlignment="1">
      <alignment vertical="center"/>
    </xf>
    <xf numFmtId="0" fontId="0" fillId="4" borderId="0" xfId="0" applyFill="1"/>
    <xf numFmtId="0" fontId="8" fillId="4" borderId="28" xfId="0" applyFont="1" applyFill="1" applyBorder="1" applyAlignment="1">
      <alignment horizontal="center" vertical="center" wrapText="1"/>
    </xf>
    <xf numFmtId="170" fontId="4" fillId="4" borderId="16" xfId="0" applyNumberFormat="1" applyFont="1" applyFill="1" applyBorder="1" applyAlignment="1">
      <alignment horizontal="center" vertical="center" wrapText="1"/>
    </xf>
    <xf numFmtId="170" fontId="1" fillId="4" borderId="16" xfId="0" applyNumberFormat="1" applyFont="1" applyFill="1" applyBorder="1" applyAlignment="1">
      <alignment horizontal="center" vertical="center" wrapText="1"/>
    </xf>
    <xf numFmtId="0" fontId="4" fillId="4" borderId="10" xfId="0" applyFont="1" applyFill="1" applyBorder="1" applyAlignment="1">
      <alignment horizontal="center" vertical="center" wrapText="1"/>
    </xf>
    <xf numFmtId="0" fontId="8" fillId="4" borderId="23" xfId="0" applyFont="1" applyFill="1" applyBorder="1" applyAlignment="1">
      <alignment horizontal="center" vertical="center" wrapText="1"/>
    </xf>
    <xf numFmtId="170" fontId="1" fillId="4" borderId="5" xfId="0" applyNumberFormat="1" applyFont="1" applyFill="1" applyBorder="1" applyAlignment="1">
      <alignment horizontal="center" vertical="center" wrapText="1"/>
    </xf>
    <xf numFmtId="170" fontId="11" fillId="4" borderId="5" xfId="0" applyNumberFormat="1" applyFont="1" applyFill="1" applyBorder="1" applyAlignment="1">
      <alignment horizontal="center" vertical="center"/>
    </xf>
    <xf numFmtId="9" fontId="11" fillId="4" borderId="5" xfId="0" applyNumberFormat="1" applyFont="1" applyFill="1" applyBorder="1" applyAlignment="1">
      <alignment horizontal="center" vertical="center"/>
    </xf>
    <xf numFmtId="170" fontId="4" fillId="4" borderId="5" xfId="0" applyNumberFormat="1" applyFont="1" applyFill="1" applyBorder="1" applyAlignment="1">
      <alignment horizontal="center" vertical="center" wrapText="1"/>
    </xf>
    <xf numFmtId="165" fontId="1" fillId="4" borderId="5" xfId="0" applyNumberFormat="1" applyFont="1" applyFill="1" applyBorder="1" applyAlignment="1">
      <alignment horizontal="center" vertical="center" wrapText="1"/>
    </xf>
    <xf numFmtId="169" fontId="4" fillId="4" borderId="5" xfId="0" applyNumberFormat="1" applyFont="1" applyFill="1" applyBorder="1" applyAlignment="1">
      <alignment horizontal="center" vertical="center" wrapText="1"/>
    </xf>
    <xf numFmtId="0" fontId="4" fillId="4" borderId="5" xfId="0" applyFont="1" applyFill="1" applyBorder="1" applyAlignment="1">
      <alignment horizontal="center" vertical="center" wrapText="1"/>
    </xf>
    <xf numFmtId="0" fontId="0" fillId="4" borderId="17" xfId="0" applyFill="1" applyBorder="1" applyAlignment="1">
      <alignment vertical="top" wrapText="1"/>
    </xf>
    <xf numFmtId="0" fontId="29" fillId="4" borderId="37" xfId="1" applyFont="1" applyFill="1" applyBorder="1" applyAlignment="1" applyProtection="1">
      <alignment vertical="top" wrapText="1"/>
    </xf>
    <xf numFmtId="0" fontId="5" fillId="4" borderId="5" xfId="0" applyFont="1" applyFill="1" applyBorder="1" applyAlignment="1">
      <alignment vertical="top" wrapText="1"/>
    </xf>
    <xf numFmtId="0" fontId="0" fillId="4" borderId="24" xfId="0" applyFill="1" applyBorder="1" applyAlignment="1">
      <alignment vertical="top" wrapText="1"/>
    </xf>
    <xf numFmtId="0" fontId="29" fillId="4" borderId="19" xfId="1" applyFont="1" applyFill="1" applyBorder="1" applyAlignment="1" applyProtection="1">
      <alignment vertical="top" wrapText="1"/>
    </xf>
    <xf numFmtId="0" fontId="29" fillId="4" borderId="57" xfId="1" applyFont="1" applyFill="1" applyBorder="1" applyAlignment="1" applyProtection="1">
      <alignment vertical="top" wrapText="1"/>
    </xf>
    <xf numFmtId="0" fontId="5" fillId="4" borderId="45" xfId="0" applyFont="1" applyFill="1" applyBorder="1" applyAlignment="1">
      <alignment vertical="top" wrapText="1"/>
    </xf>
    <xf numFmtId="0" fontId="29" fillId="4" borderId="58" xfId="1" applyFont="1" applyFill="1" applyBorder="1" applyAlignment="1" applyProtection="1">
      <alignment vertical="top" wrapText="1"/>
    </xf>
    <xf numFmtId="0" fontId="5" fillId="4" borderId="4" xfId="0" applyFont="1" applyFill="1" applyBorder="1" applyAlignment="1">
      <alignment vertical="top" wrapText="1"/>
    </xf>
    <xf numFmtId="0" fontId="17" fillId="0" borderId="35" xfId="2" applyFont="1" applyBorder="1" applyAlignment="1">
      <alignment vertical="center"/>
    </xf>
    <xf numFmtId="0" fontId="8" fillId="4" borderId="28"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8" fillId="4" borderId="6" xfId="0" applyFont="1" applyFill="1" applyBorder="1" applyAlignment="1">
      <alignment horizontal="center" vertical="center" wrapText="1"/>
    </xf>
    <xf numFmtId="168" fontId="8" fillId="5" borderId="7" xfId="0" applyNumberFormat="1" applyFont="1" applyFill="1" applyBorder="1" applyAlignment="1">
      <alignment horizontal="center" wrapText="1"/>
    </xf>
    <xf numFmtId="10" fontId="8" fillId="5" borderId="5" xfId="0" applyNumberFormat="1" applyFont="1" applyFill="1" applyBorder="1" applyAlignment="1">
      <alignment horizontal="center" wrapText="1"/>
    </xf>
    <xf numFmtId="167" fontId="8" fillId="5" borderId="1" xfId="0" applyNumberFormat="1" applyFont="1" applyFill="1" applyBorder="1" applyAlignment="1">
      <alignment horizontal="center" wrapText="1"/>
    </xf>
    <xf numFmtId="0" fontId="1" fillId="0" borderId="1" xfId="0" applyFont="1" applyBorder="1" applyAlignment="1">
      <alignment horizontal="center" wrapText="1"/>
    </xf>
    <xf numFmtId="0" fontId="1" fillId="0" borderId="11" xfId="0" applyFont="1" applyBorder="1" applyAlignment="1">
      <alignment horizontal="center" wrapText="1"/>
    </xf>
    <xf numFmtId="168" fontId="8" fillId="5" borderId="3" xfId="0" applyNumberFormat="1" applyFont="1" applyFill="1" applyBorder="1" applyAlignment="1">
      <alignment horizontal="center" wrapText="1"/>
    </xf>
    <xf numFmtId="0" fontId="1" fillId="0" borderId="5" xfId="0" applyFont="1" applyBorder="1" applyAlignment="1">
      <alignment horizontal="center" wrapText="1"/>
    </xf>
    <xf numFmtId="0" fontId="1" fillId="0" borderId="9" xfId="0" applyFont="1" applyBorder="1" applyAlignment="1">
      <alignment horizontal="center" wrapText="1"/>
    </xf>
    <xf numFmtId="168" fontId="8" fillId="5" borderId="6" xfId="0" applyNumberFormat="1" applyFont="1" applyFill="1" applyBorder="1" applyAlignment="1">
      <alignment horizontal="center" wrapText="1"/>
    </xf>
    <xf numFmtId="0" fontId="1" fillId="0" borderId="2" xfId="0" applyFont="1" applyBorder="1" applyAlignment="1">
      <alignment horizontal="center" wrapText="1"/>
    </xf>
    <xf numFmtId="0" fontId="1" fillId="0" borderId="10" xfId="0" applyFont="1" applyBorder="1" applyAlignment="1">
      <alignment horizontal="center" wrapText="1"/>
    </xf>
    <xf numFmtId="168" fontId="8" fillId="5" borderId="3" xfId="2" applyNumberFormat="1" applyFont="1" applyFill="1" applyBorder="1" applyAlignment="1">
      <alignment horizontal="center" wrapText="1"/>
    </xf>
    <xf numFmtId="10" fontId="8" fillId="5" borderId="24" xfId="2" applyNumberFormat="1" applyFont="1" applyFill="1" applyBorder="1" applyAlignment="1">
      <alignment horizontal="center" wrapText="1"/>
    </xf>
    <xf numFmtId="171" fontId="8" fillId="0" borderId="7" xfId="2" applyNumberFormat="1" applyFont="1" applyBorder="1" applyAlignment="1">
      <alignment horizontal="center" wrapText="1"/>
    </xf>
    <xf numFmtId="171" fontId="8" fillId="0" borderId="1" xfId="2" applyNumberFormat="1" applyFont="1" applyBorder="1" applyAlignment="1" applyProtection="1">
      <alignment horizontal="center" wrapText="1"/>
      <protection locked="0"/>
    </xf>
    <xf numFmtId="0" fontId="1" fillId="0" borderId="1" xfId="2" applyFont="1" applyBorder="1" applyAlignment="1">
      <alignment horizontal="center" wrapText="1"/>
    </xf>
    <xf numFmtId="0" fontId="1" fillId="0" borderId="47" xfId="2" applyFont="1" applyBorder="1" applyAlignment="1">
      <alignment horizontal="center" wrapText="1"/>
    </xf>
    <xf numFmtId="171" fontId="8" fillId="0" borderId="3" xfId="2" applyNumberFormat="1" applyFont="1" applyBorder="1" applyAlignment="1">
      <alignment horizontal="center" wrapText="1"/>
    </xf>
    <xf numFmtId="171" fontId="8" fillId="0" borderId="5" xfId="2" applyNumberFormat="1" applyFont="1" applyBorder="1" applyAlignment="1" applyProtection="1">
      <alignment horizontal="center" wrapText="1"/>
      <protection locked="0"/>
    </xf>
    <xf numFmtId="0" fontId="1" fillId="0" borderId="5" xfId="2" applyFont="1" applyBorder="1" applyAlignment="1">
      <alignment horizontal="center" wrapText="1"/>
    </xf>
    <xf numFmtId="0" fontId="1" fillId="0" borderId="22" xfId="2" applyFont="1" applyBorder="1" applyAlignment="1">
      <alignment horizontal="center" wrapText="1"/>
    </xf>
    <xf numFmtId="172" fontId="0" fillId="0" borderId="5" xfId="0" applyNumberFormat="1" applyBorder="1" applyAlignment="1">
      <alignment horizontal="center"/>
    </xf>
    <xf numFmtId="172" fontId="0" fillId="0" borderId="5" xfId="0" applyNumberFormat="1" applyBorder="1"/>
    <xf numFmtId="172" fontId="0" fillId="6" borderId="5" xfId="0" applyNumberFormat="1" applyFill="1" applyBorder="1" applyAlignment="1">
      <alignment horizontal="center"/>
    </xf>
    <xf numFmtId="172" fontId="0" fillId="6" borderId="5" xfId="0" applyNumberFormat="1" applyFill="1" applyBorder="1"/>
    <xf numFmtId="172" fontId="0" fillId="0" borderId="5" xfId="0" quotePrefix="1" applyNumberFormat="1" applyBorder="1" applyAlignment="1">
      <alignment horizontal="center"/>
    </xf>
    <xf numFmtId="0" fontId="1" fillId="4" borderId="11" xfId="0" applyFont="1" applyFill="1" applyBorder="1" applyAlignment="1">
      <alignment horizontal="center" vertical="center" wrapText="1"/>
    </xf>
    <xf numFmtId="0" fontId="0" fillId="0" borderId="7" xfId="0" applyBorder="1" applyAlignment="1">
      <alignment horizontal="center"/>
    </xf>
    <xf numFmtId="0" fontId="2" fillId="4" borderId="10" xfId="0" applyFont="1" applyFill="1" applyBorder="1" applyAlignment="1">
      <alignment horizontal="center"/>
    </xf>
    <xf numFmtId="10" fontId="8" fillId="5" borderId="1" xfId="0" applyNumberFormat="1" applyFont="1" applyFill="1" applyBorder="1" applyAlignment="1">
      <alignment horizontal="center" wrapText="1"/>
    </xf>
    <xf numFmtId="10" fontId="8" fillId="5" borderId="2" xfId="0" applyNumberFormat="1" applyFont="1" applyFill="1" applyBorder="1" applyAlignment="1">
      <alignment horizontal="center" wrapText="1"/>
    </xf>
    <xf numFmtId="167" fontId="8" fillId="5" borderId="70" xfId="0" applyNumberFormat="1" applyFont="1" applyFill="1" applyBorder="1" applyAlignment="1">
      <alignment horizontal="center" wrapText="1"/>
    </xf>
    <xf numFmtId="172" fontId="0" fillId="0" borderId="24" xfId="0" applyNumberFormat="1" applyBorder="1"/>
    <xf numFmtId="172" fontId="5" fillId="0" borderId="24" xfId="0" applyNumberFormat="1" applyFont="1" applyBorder="1"/>
    <xf numFmtId="0" fontId="8" fillId="4" borderId="32" xfId="2" applyFont="1" applyFill="1" applyBorder="1" applyAlignment="1">
      <alignment horizontal="center" vertical="center" wrapText="1"/>
    </xf>
    <xf numFmtId="0" fontId="8" fillId="4" borderId="21" xfId="2" applyFont="1" applyFill="1" applyBorder="1" applyAlignment="1">
      <alignment horizontal="center" vertical="center" wrapText="1"/>
    </xf>
    <xf numFmtId="0" fontId="8" fillId="4" borderId="30" xfId="2" applyFont="1" applyFill="1" applyBorder="1" applyAlignment="1">
      <alignment horizontal="center" vertical="center" wrapText="1"/>
    </xf>
    <xf numFmtId="0" fontId="8" fillId="4" borderId="13" xfId="2" applyFont="1" applyFill="1" applyBorder="1" applyAlignment="1">
      <alignment horizontal="center" wrapText="1"/>
    </xf>
    <xf numFmtId="0" fontId="8" fillId="4" borderId="33" xfId="2" applyFont="1" applyFill="1" applyBorder="1" applyAlignment="1">
      <alignment horizontal="center" wrapText="1"/>
    </xf>
    <xf numFmtId="0" fontId="2" fillId="4" borderId="3" xfId="0" applyFont="1" applyFill="1" applyBorder="1" applyAlignment="1">
      <alignment horizontal="center"/>
    </xf>
    <xf numFmtId="0" fontId="2" fillId="4" borderId="5" xfId="0" applyFont="1" applyFill="1" applyBorder="1" applyAlignment="1">
      <alignment horizontal="center"/>
    </xf>
    <xf numFmtId="0" fontId="0" fillId="0" borderId="1" xfId="0" applyBorder="1" applyAlignment="1">
      <alignment horizontal="center"/>
    </xf>
    <xf numFmtId="0" fontId="0" fillId="0" borderId="11" xfId="0" applyBorder="1"/>
    <xf numFmtId="0" fontId="0" fillId="0" borderId="62" xfId="0" applyBorder="1"/>
    <xf numFmtId="9" fontId="0" fillId="0" borderId="6" xfId="0" applyNumberFormat="1" applyBorder="1" applyAlignment="1"/>
    <xf numFmtId="9" fontId="0" fillId="0" borderId="2" xfId="0" applyNumberFormat="1" applyBorder="1" applyAlignment="1"/>
    <xf numFmtId="167" fontId="8" fillId="5" borderId="21" xfId="0" applyNumberFormat="1" applyFont="1" applyFill="1" applyBorder="1" applyAlignment="1">
      <alignment horizontal="center" wrapText="1"/>
    </xf>
    <xf numFmtId="168" fontId="8" fillId="5" borderId="0" xfId="0" applyNumberFormat="1" applyFont="1" applyFill="1" applyBorder="1" applyAlignment="1">
      <alignment horizontal="center" wrapText="1"/>
    </xf>
    <xf numFmtId="167" fontId="8" fillId="5" borderId="0" xfId="0" applyNumberFormat="1" applyFont="1" applyFill="1" applyBorder="1" applyAlignment="1">
      <alignment horizontal="center" wrapText="1"/>
    </xf>
    <xf numFmtId="0" fontId="1" fillId="0" borderId="0" xfId="0" applyFont="1" applyBorder="1" applyAlignment="1">
      <alignment horizontal="center" wrapText="1"/>
    </xf>
    <xf numFmtId="0" fontId="1" fillId="0" borderId="0" xfId="0" applyFont="1" applyFill="1" applyBorder="1" applyAlignment="1">
      <alignment horizontal="center" wrapText="1"/>
    </xf>
    <xf numFmtId="0" fontId="1" fillId="0" borderId="21" xfId="0" applyFont="1" applyFill="1" applyBorder="1" applyAlignment="1">
      <alignment horizontal="center" wrapText="1"/>
    </xf>
    <xf numFmtId="0" fontId="1" fillId="0" borderId="74" xfId="0" applyFont="1" applyFill="1" applyBorder="1" applyAlignment="1">
      <alignment horizontal="center" wrapText="1"/>
    </xf>
    <xf numFmtId="10" fontId="8" fillId="5" borderId="0" xfId="2" applyNumberFormat="1" applyFont="1" applyFill="1" applyBorder="1" applyAlignment="1">
      <alignment horizontal="center" wrapText="1"/>
    </xf>
    <xf numFmtId="171" fontId="8" fillId="0" borderId="0" xfId="2" applyNumberFormat="1" applyFont="1" applyBorder="1" applyAlignment="1">
      <alignment horizontal="center" wrapText="1"/>
    </xf>
    <xf numFmtId="0" fontId="1" fillId="0" borderId="0" xfId="2" applyFont="1" applyBorder="1" applyAlignment="1">
      <alignment horizontal="center" wrapText="1"/>
    </xf>
    <xf numFmtId="171" fontId="8" fillId="0" borderId="0" xfId="2" applyNumberFormat="1" applyFont="1" applyBorder="1" applyAlignment="1" applyProtection="1">
      <alignment horizontal="center" wrapText="1"/>
      <protection locked="0"/>
    </xf>
    <xf numFmtId="168" fontId="8" fillId="5" borderId="8" xfId="2" applyNumberFormat="1" applyFont="1" applyFill="1" applyBorder="1" applyAlignment="1">
      <alignment horizontal="center" wrapText="1"/>
    </xf>
    <xf numFmtId="171" fontId="8" fillId="0" borderId="60" xfId="2" applyNumberFormat="1" applyFont="1" applyBorder="1" applyAlignment="1" applyProtection="1">
      <alignment horizontal="center" wrapText="1"/>
      <protection locked="0"/>
    </xf>
    <xf numFmtId="0" fontId="7" fillId="0" borderId="34" xfId="2" applyFont="1" applyBorder="1" applyAlignment="1">
      <alignment horizontal="left" vertical="center" wrapText="1"/>
    </xf>
    <xf numFmtId="0" fontId="7" fillId="0" borderId="36" xfId="2" applyFont="1" applyBorder="1" applyAlignment="1">
      <alignment horizontal="left" vertical="center" wrapText="1"/>
    </xf>
    <xf numFmtId="0" fontId="17" fillId="0" borderId="34" xfId="2" applyFont="1" applyBorder="1" applyAlignment="1" applyProtection="1">
      <alignment horizontal="left" vertical="center" wrapText="1"/>
      <protection locked="0"/>
    </xf>
    <xf numFmtId="0" fontId="17" fillId="0" borderId="35" xfId="2" applyFont="1" applyBorder="1" applyAlignment="1" applyProtection="1">
      <alignment horizontal="left" vertical="center" wrapText="1"/>
      <protection locked="0"/>
    </xf>
    <xf numFmtId="0" fontId="17" fillId="0" borderId="36" xfId="2" applyFont="1" applyBorder="1" applyAlignment="1" applyProtection="1">
      <alignment horizontal="left" vertical="center" wrapText="1"/>
      <protection locked="0"/>
    </xf>
    <xf numFmtId="0" fontId="9" fillId="0" borderId="18" xfId="2" applyFont="1" applyBorder="1" applyAlignment="1">
      <alignment horizontal="left" vertical="top" wrapText="1"/>
    </xf>
    <xf numFmtId="0" fontId="14" fillId="0" borderId="20" xfId="2" applyFont="1" applyBorder="1" applyAlignment="1">
      <alignment horizontal="left" vertical="top" wrapText="1"/>
    </xf>
    <xf numFmtId="0" fontId="14" fillId="0" borderId="29" xfId="2" applyFont="1" applyBorder="1" applyAlignment="1">
      <alignment horizontal="left" vertical="top" wrapText="1"/>
    </xf>
    <xf numFmtId="0" fontId="2" fillId="0" borderId="8" xfId="2" applyFont="1" applyBorder="1" applyAlignment="1" applyProtection="1">
      <alignment horizontal="center" wrapText="1"/>
    </xf>
    <xf numFmtId="0" fontId="2" fillId="0" borderId="0" xfId="2" applyFont="1" applyBorder="1" applyAlignment="1" applyProtection="1">
      <alignment horizontal="center" wrapText="1"/>
    </xf>
    <xf numFmtId="0" fontId="2" fillId="0" borderId="48" xfId="2" applyFont="1" applyBorder="1" applyAlignment="1" applyProtection="1">
      <alignment horizontal="center" wrapText="1"/>
    </xf>
    <xf numFmtId="0" fontId="7" fillId="0" borderId="61" xfId="2" applyFont="1" applyBorder="1" applyAlignment="1">
      <alignment horizontal="left" vertical="center" wrapText="1"/>
    </xf>
    <xf numFmtId="0" fontId="7" fillId="0" borderId="44" xfId="2" applyFont="1" applyBorder="1" applyAlignment="1">
      <alignment horizontal="left" vertical="center" wrapText="1"/>
    </xf>
    <xf numFmtId="0" fontId="7" fillId="0" borderId="18" xfId="2" applyFont="1" applyBorder="1" applyAlignment="1">
      <alignment horizontal="left" vertical="center" wrapText="1"/>
    </xf>
    <xf numFmtId="0" fontId="7" fillId="0" borderId="29" xfId="2" applyFont="1" applyBorder="1" applyAlignment="1">
      <alignment horizontal="left" vertical="center" wrapText="1"/>
    </xf>
    <xf numFmtId="0" fontId="17" fillId="2" borderId="34" xfId="2" applyFont="1" applyFill="1" applyBorder="1" applyAlignment="1" applyProtection="1">
      <alignment horizontal="left" vertical="center"/>
      <protection locked="0"/>
    </xf>
    <xf numFmtId="0" fontId="17" fillId="2" borderId="35" xfId="2" applyFont="1" applyFill="1" applyBorder="1" applyAlignment="1" applyProtection="1">
      <alignment horizontal="left" vertical="center"/>
      <protection locked="0"/>
    </xf>
    <xf numFmtId="0" fontId="17" fillId="2" borderId="36" xfId="2" applyFont="1" applyFill="1" applyBorder="1" applyAlignment="1" applyProtection="1">
      <alignment horizontal="left" vertical="center"/>
      <protection locked="0"/>
    </xf>
    <xf numFmtId="0" fontId="17" fillId="0" borderId="34" xfId="2" applyFont="1" applyBorder="1" applyAlignment="1">
      <alignment horizontal="left" vertical="center" wrapText="1"/>
    </xf>
    <xf numFmtId="0" fontId="17" fillId="0" borderId="35" xfId="2" applyFont="1" applyBorder="1" applyAlignment="1">
      <alignment horizontal="left" vertical="center" wrapText="1"/>
    </xf>
    <xf numFmtId="0" fontId="17" fillId="0" borderId="36" xfId="2" applyFont="1" applyBorder="1" applyAlignment="1">
      <alignment horizontal="left" vertical="center" wrapText="1"/>
    </xf>
    <xf numFmtId="0" fontId="17" fillId="2" borderId="34" xfId="2" quotePrefix="1" applyFont="1" applyFill="1" applyBorder="1" applyAlignment="1" applyProtection="1">
      <alignment horizontal="left" vertical="center"/>
      <protection locked="0"/>
    </xf>
    <xf numFmtId="0" fontId="17" fillId="2" borderId="35" xfId="2" quotePrefix="1" applyFont="1" applyFill="1" applyBorder="1" applyAlignment="1" applyProtection="1">
      <alignment horizontal="left" vertical="center"/>
      <protection locked="0"/>
    </xf>
    <xf numFmtId="0" fontId="17" fillId="2" borderId="36" xfId="2" quotePrefix="1" applyFont="1" applyFill="1" applyBorder="1" applyAlignment="1" applyProtection="1">
      <alignment horizontal="left" vertical="center"/>
      <protection locked="0"/>
    </xf>
    <xf numFmtId="0" fontId="7" fillId="0" borderId="35" xfId="2" applyFont="1" applyBorder="1" applyAlignment="1">
      <alignment horizontal="left" vertical="center" wrapText="1"/>
    </xf>
    <xf numFmtId="0" fontId="7" fillId="0" borderId="14" xfId="2" applyFont="1" applyBorder="1" applyAlignment="1">
      <alignment horizontal="left" vertical="center" wrapText="1"/>
    </xf>
    <xf numFmtId="0" fontId="17" fillId="0" borderId="14" xfId="2" applyFont="1" applyBorder="1" applyAlignment="1">
      <alignment horizontal="left" vertical="center" wrapText="1"/>
    </xf>
    <xf numFmtId="0" fontId="13" fillId="3" borderId="5" xfId="2" applyFont="1" applyFill="1" applyBorder="1" applyAlignment="1">
      <alignment horizontal="left" vertical="center" wrapText="1"/>
    </xf>
    <xf numFmtId="0" fontId="13" fillId="2" borderId="24" xfId="2" applyFont="1" applyFill="1" applyBorder="1" applyAlignment="1" applyProtection="1">
      <alignment horizontal="left" vertical="center"/>
      <protection locked="0"/>
    </xf>
    <xf numFmtId="0" fontId="13" fillId="2" borderId="63" xfId="2" applyFont="1" applyFill="1" applyBorder="1" applyAlignment="1" applyProtection="1">
      <alignment horizontal="left" vertical="center"/>
      <protection locked="0"/>
    </xf>
    <xf numFmtId="0" fontId="13" fillId="2" borderId="64" xfId="2" applyFont="1" applyFill="1" applyBorder="1" applyAlignment="1" applyProtection="1">
      <alignment horizontal="left" vertical="center"/>
      <protection locked="0"/>
    </xf>
    <xf numFmtId="0" fontId="5" fillId="0" borderId="55" xfId="2" applyBorder="1" applyAlignment="1">
      <alignment horizontal="center"/>
    </xf>
    <xf numFmtId="0" fontId="5" fillId="0" borderId="56" xfId="2" applyBorder="1" applyAlignment="1">
      <alignment horizontal="center"/>
    </xf>
    <xf numFmtId="0" fontId="5" fillId="0" borderId="0" xfId="2" applyAlignment="1">
      <alignment horizontal="center"/>
    </xf>
    <xf numFmtId="0" fontId="5" fillId="0" borderId="48" xfId="2" applyBorder="1" applyAlignment="1">
      <alignment horizontal="center"/>
    </xf>
    <xf numFmtId="0" fontId="14" fillId="0" borderId="8" xfId="2" applyFont="1" applyBorder="1" applyAlignment="1">
      <alignment horizontal="left" wrapText="1"/>
    </xf>
    <xf numFmtId="0" fontId="14" fillId="0" borderId="0" xfId="2" applyFont="1" applyAlignment="1">
      <alignment horizontal="left" wrapText="1"/>
    </xf>
    <xf numFmtId="0" fontId="14" fillId="0" borderId="48" xfId="2" applyFont="1" applyBorder="1" applyAlignment="1">
      <alignment horizontal="left" wrapText="1"/>
    </xf>
    <xf numFmtId="0" fontId="14" fillId="0" borderId="8" xfId="2" applyFont="1" applyBorder="1" applyAlignment="1">
      <alignment horizontal="center"/>
    </xf>
    <xf numFmtId="0" fontId="14" fillId="0" borderId="0" xfId="2" applyFont="1" applyAlignment="1">
      <alignment horizontal="center"/>
    </xf>
    <xf numFmtId="0" fontId="14" fillId="0" borderId="48" xfId="2" applyFont="1" applyBorder="1" applyAlignment="1">
      <alignment horizontal="center"/>
    </xf>
    <xf numFmtId="0" fontId="15" fillId="0" borderId="8" xfId="2" applyFont="1" applyBorder="1" applyAlignment="1">
      <alignment horizontal="left" wrapText="1"/>
    </xf>
    <xf numFmtId="0" fontId="15" fillId="0" borderId="0" xfId="2" applyFont="1" applyAlignment="1">
      <alignment horizontal="left" wrapText="1"/>
    </xf>
    <xf numFmtId="0" fontId="15" fillId="0" borderId="48" xfId="2" applyFont="1" applyBorder="1" applyAlignment="1">
      <alignment horizontal="left" wrapText="1"/>
    </xf>
    <xf numFmtId="0" fontId="5" fillId="0" borderId="8" xfId="2" applyBorder="1" applyAlignment="1">
      <alignment horizontal="center"/>
    </xf>
    <xf numFmtId="0" fontId="16" fillId="0" borderId="49" xfId="2" applyFont="1" applyBorder="1" applyAlignment="1">
      <alignment horizontal="center"/>
    </xf>
    <xf numFmtId="0" fontId="16" fillId="0" borderId="50" xfId="2" applyFont="1" applyBorder="1" applyAlignment="1">
      <alignment horizontal="center"/>
    </xf>
    <xf numFmtId="0" fontId="16" fillId="0" borderId="51" xfId="2" applyFont="1" applyBorder="1" applyAlignment="1">
      <alignment horizontal="center"/>
    </xf>
    <xf numFmtId="0" fontId="7" fillId="0" borderId="52" xfId="2" applyFont="1" applyBorder="1" applyAlignment="1">
      <alignment horizontal="left" vertical="center" wrapText="1"/>
    </xf>
    <xf numFmtId="0" fontId="7" fillId="0" borderId="53" xfId="2" applyFont="1" applyBorder="1" applyAlignment="1">
      <alignment horizontal="left" vertical="center" wrapText="1"/>
    </xf>
    <xf numFmtId="0" fontId="7" fillId="0" borderId="54" xfId="2" applyFont="1" applyBorder="1" applyAlignment="1">
      <alignment horizontal="left" vertical="center" wrapText="1"/>
    </xf>
    <xf numFmtId="0" fontId="7" fillId="0" borderId="69" xfId="2" applyFont="1" applyBorder="1" applyAlignment="1">
      <alignment horizontal="right" vertical="center"/>
    </xf>
    <xf numFmtId="0" fontId="7" fillId="0" borderId="53" xfId="2" applyFont="1" applyBorder="1" applyAlignment="1">
      <alignment horizontal="right" vertical="center"/>
    </xf>
    <xf numFmtId="0" fontId="7" fillId="0" borderId="54" xfId="2" applyFont="1" applyBorder="1" applyAlignment="1">
      <alignment horizontal="right" vertical="center"/>
    </xf>
    <xf numFmtId="0" fontId="7" fillId="0" borderId="66" xfId="2" applyFont="1" applyBorder="1" applyAlignment="1">
      <alignment horizontal="center" vertical="center" wrapText="1"/>
    </xf>
    <xf numFmtId="0" fontId="7" fillId="0" borderId="67" xfId="2" applyFont="1" applyBorder="1" applyAlignment="1">
      <alignment horizontal="center" vertical="center" wrapText="1"/>
    </xf>
    <xf numFmtId="0" fontId="7" fillId="0" borderId="68" xfId="2" applyFont="1" applyBorder="1" applyAlignment="1">
      <alignment horizontal="center" vertical="center" wrapText="1"/>
    </xf>
    <xf numFmtId="0" fontId="13" fillId="2" borderId="5" xfId="2" quotePrefix="1" applyFont="1" applyFill="1" applyBorder="1" applyAlignment="1">
      <alignment horizontal="left" vertical="center"/>
    </xf>
    <xf numFmtId="0" fontId="13" fillId="2" borderId="5" xfId="2" applyFont="1" applyFill="1" applyBorder="1" applyAlignment="1">
      <alignment horizontal="left" vertical="center"/>
    </xf>
    <xf numFmtId="0" fontId="13" fillId="2" borderId="62" xfId="2" applyFont="1" applyFill="1" applyBorder="1" applyAlignment="1">
      <alignment horizontal="left" vertical="center"/>
    </xf>
    <xf numFmtId="0" fontId="13" fillId="2" borderId="24" xfId="2" applyFont="1" applyFill="1" applyBorder="1" applyAlignment="1">
      <alignment horizontal="left" vertical="center"/>
    </xf>
    <xf numFmtId="0" fontId="13" fillId="2" borderId="63" xfId="2" applyFont="1" applyFill="1" applyBorder="1" applyAlignment="1">
      <alignment horizontal="left" vertical="center"/>
    </xf>
    <xf numFmtId="0" fontId="13" fillId="2" borderId="64" xfId="2" applyFont="1" applyFill="1" applyBorder="1" applyAlignment="1">
      <alignment horizontal="left" vertical="center"/>
    </xf>
    <xf numFmtId="0" fontId="25" fillId="3" borderId="5" xfId="2" applyFont="1" applyFill="1" applyBorder="1" applyAlignment="1">
      <alignment horizontal="left" vertical="center" wrapText="1"/>
    </xf>
    <xf numFmtId="0" fontId="13" fillId="2" borderId="5" xfId="2" applyFont="1" applyFill="1" applyBorder="1" applyAlignment="1" applyProtection="1">
      <alignment horizontal="left" vertical="center"/>
      <protection locked="0"/>
    </xf>
    <xf numFmtId="0" fontId="13" fillId="2" borderId="62" xfId="2" applyFont="1" applyFill="1" applyBorder="1" applyAlignment="1" applyProtection="1">
      <alignment horizontal="left" vertical="center"/>
      <protection locked="0"/>
    </xf>
    <xf numFmtId="0" fontId="13" fillId="2" borderId="45" xfId="2" applyFont="1" applyFill="1" applyBorder="1" applyAlignment="1" applyProtection="1">
      <alignment horizontal="left" vertical="center"/>
      <protection locked="0"/>
    </xf>
    <xf numFmtId="0" fontId="13" fillId="2" borderId="65" xfId="2" applyFont="1" applyFill="1" applyBorder="1" applyAlignment="1" applyProtection="1">
      <alignment horizontal="left" vertical="center"/>
      <protection locked="0"/>
    </xf>
    <xf numFmtId="49" fontId="13" fillId="2" borderId="24" xfId="2" applyNumberFormat="1" applyFont="1" applyFill="1" applyBorder="1" applyAlignment="1">
      <alignment horizontal="left" vertical="center" wrapText="1"/>
    </xf>
    <xf numFmtId="49" fontId="13" fillId="2" borderId="63" xfId="2" applyNumberFormat="1" applyFont="1" applyFill="1" applyBorder="1" applyAlignment="1">
      <alignment horizontal="left" vertical="center" wrapText="1"/>
    </xf>
    <xf numFmtId="49" fontId="13" fillId="2" borderId="64" xfId="2" applyNumberFormat="1" applyFont="1" applyFill="1" applyBorder="1" applyAlignment="1">
      <alignment horizontal="left" vertical="center" wrapText="1"/>
    </xf>
    <xf numFmtId="49" fontId="13" fillId="2" borderId="5" xfId="2" applyNumberFormat="1" applyFont="1" applyFill="1" applyBorder="1" applyAlignment="1">
      <alignment horizontal="left" vertical="center"/>
    </xf>
    <xf numFmtId="49" fontId="13" fillId="2" borderId="62" xfId="2" applyNumberFormat="1" applyFont="1" applyFill="1" applyBorder="1" applyAlignment="1">
      <alignment horizontal="left" vertical="center"/>
    </xf>
    <xf numFmtId="0" fontId="27" fillId="0" borderId="5" xfId="2" applyFont="1" applyBorder="1" applyAlignment="1" applyProtection="1">
      <alignment horizontal="center" vertical="center" wrapText="1"/>
      <protection locked="0"/>
    </xf>
    <xf numFmtId="0" fontId="9" fillId="0" borderId="5" xfId="2" applyFont="1" applyBorder="1" applyAlignment="1">
      <alignment horizontal="center" vertical="center" wrapText="1"/>
    </xf>
    <xf numFmtId="0" fontId="30" fillId="0" borderId="5" xfId="2" applyFont="1" applyBorder="1" applyAlignment="1">
      <alignment horizontal="left" vertical="center"/>
    </xf>
    <xf numFmtId="0" fontId="5" fillId="0" borderId="0" xfId="2" applyBorder="1" applyAlignment="1">
      <alignment horizontal="center"/>
    </xf>
    <xf numFmtId="0" fontId="2" fillId="4" borderId="34" xfId="0" applyFont="1" applyFill="1" applyBorder="1" applyAlignment="1">
      <alignment horizontal="center" vertical="center"/>
    </xf>
    <xf numFmtId="0" fontId="2" fillId="4" borderId="35" xfId="0" applyFont="1" applyFill="1" applyBorder="1" applyAlignment="1">
      <alignment horizontal="center" vertical="center"/>
    </xf>
    <xf numFmtId="0" fontId="2" fillId="4" borderId="36" xfId="0" applyFont="1" applyFill="1" applyBorder="1" applyAlignment="1">
      <alignment horizontal="center" vertical="center"/>
    </xf>
    <xf numFmtId="0" fontId="8" fillId="4" borderId="43" xfId="0" applyFont="1" applyFill="1" applyBorder="1" applyAlignment="1">
      <alignment horizontal="center" vertical="center" wrapText="1"/>
    </xf>
    <xf numFmtId="0" fontId="8" fillId="4" borderId="28" xfId="0" applyFont="1" applyFill="1" applyBorder="1" applyAlignment="1">
      <alignment horizontal="center" vertical="center" wrapText="1"/>
    </xf>
    <xf numFmtId="0" fontId="8" fillId="4" borderId="34" xfId="0" applyFont="1" applyFill="1" applyBorder="1" applyAlignment="1">
      <alignment horizontal="center" vertical="center" wrapText="1"/>
    </xf>
    <xf numFmtId="0" fontId="8" fillId="4" borderId="35" xfId="0" applyFont="1" applyFill="1" applyBorder="1" applyAlignment="1">
      <alignment horizontal="center" vertical="center" wrapText="1"/>
    </xf>
    <xf numFmtId="0" fontId="8" fillId="4" borderId="36" xfId="0" applyFont="1" applyFill="1" applyBorder="1" applyAlignment="1">
      <alignment horizontal="center" vertical="center" wrapText="1"/>
    </xf>
    <xf numFmtId="0" fontId="2" fillId="4" borderId="34" xfId="0" applyFont="1" applyFill="1" applyBorder="1" applyAlignment="1">
      <alignment horizontal="center"/>
    </xf>
    <xf numFmtId="0" fontId="2" fillId="4" borderId="35" xfId="0" applyFont="1" applyFill="1" applyBorder="1" applyAlignment="1">
      <alignment horizontal="center"/>
    </xf>
    <xf numFmtId="0" fontId="2" fillId="4" borderId="36" xfId="0" applyFont="1" applyFill="1" applyBorder="1" applyAlignment="1">
      <alignment horizontal="center"/>
    </xf>
    <xf numFmtId="0" fontId="5" fillId="0" borderId="0" xfId="0" applyFont="1" applyAlignment="1">
      <alignment horizontal="left"/>
    </xf>
    <xf numFmtId="0" fontId="0" fillId="0" borderId="0" xfId="0" applyAlignment="1">
      <alignment horizontal="left"/>
    </xf>
    <xf numFmtId="0" fontId="5" fillId="0" borderId="0" xfId="0" applyFont="1" applyAlignment="1">
      <alignment horizontal="left" wrapText="1"/>
    </xf>
    <xf numFmtId="0" fontId="0" fillId="0" borderId="0" xfId="0" applyAlignment="1">
      <alignment horizontal="left" wrapText="1"/>
    </xf>
    <xf numFmtId="0" fontId="8" fillId="4" borderId="25" xfId="0" applyFont="1" applyFill="1" applyBorder="1" applyAlignment="1">
      <alignment horizontal="center" vertical="center" wrapText="1"/>
    </xf>
    <xf numFmtId="0" fontId="8" fillId="4" borderId="31" xfId="0" applyFont="1" applyFill="1" applyBorder="1" applyAlignment="1">
      <alignment horizontal="center" vertical="center" wrapText="1"/>
    </xf>
    <xf numFmtId="0" fontId="8" fillId="4" borderId="15" xfId="0" applyFont="1" applyFill="1" applyBorder="1" applyAlignment="1">
      <alignment horizontal="center" vertical="center" wrapText="1"/>
    </xf>
    <xf numFmtId="0" fontId="8" fillId="4" borderId="21" xfId="0" applyFont="1" applyFill="1" applyBorder="1" applyAlignment="1">
      <alignment horizontal="center" vertical="center" wrapText="1"/>
    </xf>
    <xf numFmtId="0" fontId="8" fillId="4" borderId="44" xfId="0" applyFont="1" applyFill="1" applyBorder="1" applyAlignment="1">
      <alignment horizontal="center" vertical="center" wrapText="1"/>
    </xf>
    <xf numFmtId="0" fontId="8" fillId="4" borderId="48" xfId="0" applyFont="1" applyFill="1" applyBorder="1" applyAlignment="1">
      <alignment horizontal="center" vertical="center" wrapText="1"/>
    </xf>
    <xf numFmtId="0" fontId="9" fillId="4" borderId="34" xfId="0" applyFont="1" applyFill="1" applyBorder="1" applyAlignment="1">
      <alignment horizontal="center" vertical="center"/>
    </xf>
    <xf numFmtId="0" fontId="9" fillId="0" borderId="0" xfId="0" applyFont="1" applyAlignment="1">
      <alignment horizontal="center" vertical="top" wrapText="1"/>
    </xf>
    <xf numFmtId="0" fontId="0" fillId="4" borderId="59" xfId="0" applyFill="1" applyBorder="1" applyAlignment="1">
      <alignment horizontal="center" vertical="top" wrapText="1"/>
    </xf>
    <xf numFmtId="0" fontId="0" fillId="4" borderId="26" xfId="0" applyFill="1" applyBorder="1" applyAlignment="1">
      <alignment horizontal="center" vertical="top" wrapText="1"/>
    </xf>
    <xf numFmtId="0" fontId="7" fillId="4" borderId="34" xfId="0" applyFont="1" applyFill="1" applyBorder="1" applyAlignment="1">
      <alignment horizontal="center" wrapText="1"/>
    </xf>
    <xf numFmtId="0" fontId="7" fillId="4" borderId="35" xfId="0" applyFont="1" applyFill="1" applyBorder="1" applyAlignment="1">
      <alignment horizontal="center" wrapText="1"/>
    </xf>
    <xf numFmtId="0" fontId="7" fillId="4" borderId="36" xfId="0" applyFont="1" applyFill="1" applyBorder="1" applyAlignment="1">
      <alignment horizontal="center" wrapText="1"/>
    </xf>
    <xf numFmtId="0" fontId="8" fillId="4" borderId="7"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1" xfId="0" applyFont="1" applyFill="1" applyBorder="1" applyAlignment="1">
      <alignment horizontal="center" wrapText="1"/>
    </xf>
    <xf numFmtId="0" fontId="8" fillId="4" borderId="17" xfId="0" applyFont="1" applyFill="1" applyBorder="1" applyAlignment="1">
      <alignment horizontal="center" wrapText="1"/>
    </xf>
    <xf numFmtId="0" fontId="8" fillId="4" borderId="16" xfId="0" applyFont="1" applyFill="1" applyBorder="1" applyAlignment="1">
      <alignment horizontal="center" vertical="center" wrapText="1"/>
    </xf>
    <xf numFmtId="0" fontId="8" fillId="4" borderId="45"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8" fillId="4" borderId="34" xfId="0" applyFont="1" applyFill="1" applyBorder="1" applyAlignment="1">
      <alignment horizontal="center" wrapText="1"/>
    </xf>
    <xf numFmtId="0" fontId="8" fillId="4" borderId="35" xfId="0" applyFont="1" applyFill="1" applyBorder="1" applyAlignment="1">
      <alignment horizontal="center" wrapText="1"/>
    </xf>
    <xf numFmtId="0" fontId="8" fillId="4" borderId="36" xfId="0" applyFont="1" applyFill="1" applyBorder="1" applyAlignment="1">
      <alignment horizontal="center" wrapText="1"/>
    </xf>
    <xf numFmtId="0" fontId="7" fillId="4" borderId="71" xfId="0" applyFont="1" applyFill="1" applyBorder="1" applyAlignment="1">
      <alignment horizontal="center" wrapText="1"/>
    </xf>
    <xf numFmtId="0" fontId="7" fillId="4" borderId="72" xfId="0" applyFont="1" applyFill="1" applyBorder="1" applyAlignment="1">
      <alignment horizontal="center" wrapText="1"/>
    </xf>
    <xf numFmtId="0" fontId="7" fillId="4" borderId="73" xfId="0" applyFont="1" applyFill="1" applyBorder="1" applyAlignment="1">
      <alignment horizontal="center" wrapText="1"/>
    </xf>
    <xf numFmtId="0" fontId="8" fillId="4" borderId="5" xfId="0" applyFont="1" applyFill="1" applyBorder="1" applyAlignment="1">
      <alignment horizontal="center" vertical="center" wrapText="1"/>
    </xf>
    <xf numFmtId="0" fontId="8" fillId="4" borderId="5" xfId="0" applyFont="1" applyFill="1" applyBorder="1" applyAlignment="1">
      <alignment horizontal="center" wrapText="1"/>
    </xf>
    <xf numFmtId="0" fontId="8" fillId="4" borderId="27" xfId="0" applyFont="1" applyFill="1" applyBorder="1" applyAlignment="1">
      <alignment horizontal="center" vertical="center" wrapText="1"/>
    </xf>
    <xf numFmtId="0" fontId="8" fillId="4" borderId="15" xfId="2" applyFont="1" applyFill="1" applyBorder="1" applyAlignment="1">
      <alignment horizontal="center" vertical="center" wrapText="1"/>
    </xf>
    <xf numFmtId="0" fontId="8" fillId="4" borderId="21" xfId="2" applyFont="1" applyFill="1" applyBorder="1" applyAlignment="1">
      <alignment horizontal="center" vertical="center" wrapText="1"/>
    </xf>
    <xf numFmtId="0" fontId="8" fillId="4" borderId="46" xfId="2" applyFont="1" applyFill="1" applyBorder="1" applyAlignment="1">
      <alignment horizontal="center" vertical="center" wrapText="1"/>
    </xf>
    <xf numFmtId="0" fontId="8" fillId="4" borderId="30" xfId="2" applyFont="1" applyFill="1" applyBorder="1" applyAlignment="1">
      <alignment horizontal="center" vertical="center" wrapText="1"/>
    </xf>
    <xf numFmtId="0" fontId="7" fillId="4" borderId="34" xfId="2" applyFont="1" applyFill="1" applyBorder="1" applyAlignment="1">
      <alignment horizontal="center" wrapText="1"/>
    </xf>
    <xf numFmtId="0" fontId="7" fillId="4" borderId="35" xfId="2" applyFont="1" applyFill="1" applyBorder="1" applyAlignment="1">
      <alignment horizontal="center" wrapText="1"/>
    </xf>
    <xf numFmtId="0" fontId="7" fillId="4" borderId="36" xfId="2" applyFont="1" applyFill="1" applyBorder="1" applyAlignment="1">
      <alignment horizontal="center" wrapText="1"/>
    </xf>
    <xf numFmtId="0" fontId="8" fillId="4" borderId="34" xfId="2" applyFont="1" applyFill="1" applyBorder="1" applyAlignment="1">
      <alignment horizontal="center" wrapText="1"/>
    </xf>
    <xf numFmtId="0" fontId="8" fillId="4" borderId="35" xfId="2" applyFont="1" applyFill="1" applyBorder="1" applyAlignment="1">
      <alignment horizontal="center" wrapText="1"/>
    </xf>
    <xf numFmtId="0" fontId="8" fillId="4" borderId="36" xfId="2" applyFont="1" applyFill="1" applyBorder="1" applyAlignment="1">
      <alignment horizontal="center" wrapText="1"/>
    </xf>
    <xf numFmtId="0" fontId="8" fillId="4" borderId="23" xfId="2" applyFont="1" applyFill="1" applyBorder="1" applyAlignment="1">
      <alignment horizontal="center" vertical="center" wrapText="1"/>
    </xf>
    <xf numFmtId="0" fontId="8" fillId="4" borderId="32" xfId="2" applyFont="1" applyFill="1" applyBorder="1" applyAlignment="1">
      <alignment horizontal="center" vertical="center" wrapText="1"/>
    </xf>
    <xf numFmtId="0" fontId="8" fillId="4" borderId="12" xfId="2" applyFont="1" applyFill="1" applyBorder="1" applyAlignment="1">
      <alignment horizontal="center" wrapText="1"/>
    </xf>
    <xf numFmtId="0" fontId="8" fillId="4" borderId="31" xfId="2" applyFont="1" applyFill="1" applyBorder="1" applyAlignment="1">
      <alignment horizontal="center" wrapText="1"/>
    </xf>
    <xf numFmtId="0" fontId="8" fillId="4" borderId="13" xfId="2" applyFont="1" applyFill="1" applyBorder="1" applyAlignment="1">
      <alignment horizontal="center" wrapText="1"/>
    </xf>
    <xf numFmtId="0" fontId="8" fillId="4" borderId="17" xfId="2" applyFont="1" applyFill="1" applyBorder="1" applyAlignment="1">
      <alignment horizontal="center" wrapText="1"/>
    </xf>
    <xf numFmtId="0" fontId="8" fillId="4" borderId="30" xfId="2" applyFont="1" applyFill="1" applyBorder="1" applyAlignment="1">
      <alignment horizontal="center" wrapText="1"/>
    </xf>
    <xf numFmtId="0" fontId="8" fillId="4" borderId="33" xfId="2" applyFont="1" applyFill="1" applyBorder="1" applyAlignment="1">
      <alignment horizontal="center" wrapText="1"/>
    </xf>
    <xf numFmtId="0" fontId="8" fillId="4" borderId="18" xfId="2" applyFont="1" applyFill="1" applyBorder="1" applyAlignment="1">
      <alignment horizontal="center" wrapText="1"/>
    </xf>
    <xf numFmtId="0" fontId="8" fillId="4" borderId="20" xfId="2" applyFont="1" applyFill="1" applyBorder="1" applyAlignment="1">
      <alignment horizontal="center" wrapText="1"/>
    </xf>
    <xf numFmtId="0" fontId="8" fillId="4" borderId="29" xfId="2" applyFont="1" applyFill="1" applyBorder="1" applyAlignment="1">
      <alignment horizontal="center" wrapText="1"/>
    </xf>
    <xf numFmtId="0" fontId="8" fillId="4" borderId="26" xfId="2" applyFont="1" applyFill="1" applyBorder="1" applyAlignment="1">
      <alignment horizontal="center" wrapText="1"/>
    </xf>
    <xf numFmtId="0" fontId="7" fillId="4" borderId="5" xfId="2" applyFont="1" applyFill="1" applyBorder="1" applyAlignment="1">
      <alignment horizontal="center" wrapText="1"/>
    </xf>
    <xf numFmtId="0" fontId="8" fillId="4" borderId="5" xfId="2" applyFont="1" applyFill="1" applyBorder="1" applyAlignment="1">
      <alignment horizontal="center" wrapText="1"/>
    </xf>
    <xf numFmtId="0" fontId="8" fillId="4" borderId="5" xfId="2" applyFont="1" applyFill="1" applyBorder="1" applyAlignment="1">
      <alignment horizontal="center" vertical="center" wrapText="1"/>
    </xf>
    <xf numFmtId="0" fontId="7" fillId="4" borderId="8" xfId="2" applyFont="1" applyFill="1" applyBorder="1" applyAlignment="1">
      <alignment horizontal="center" wrapText="1"/>
    </xf>
    <xf numFmtId="0" fontId="7" fillId="4" borderId="0" xfId="2" applyFont="1" applyFill="1" applyBorder="1" applyAlignment="1">
      <alignment horizontal="center" wrapText="1"/>
    </xf>
    <xf numFmtId="0" fontId="7" fillId="4" borderId="34" xfId="0" applyFont="1" applyFill="1" applyBorder="1" applyAlignment="1">
      <alignment horizontal="center"/>
    </xf>
    <xf numFmtId="0" fontId="7" fillId="4" borderId="35" xfId="0" applyFont="1" applyFill="1" applyBorder="1" applyAlignment="1">
      <alignment horizontal="center"/>
    </xf>
    <xf numFmtId="0" fontId="7" fillId="4" borderId="36" xfId="0" applyFont="1" applyFill="1" applyBorder="1" applyAlignment="1">
      <alignment horizontal="center"/>
    </xf>
  </cellXfs>
  <cellStyles count="3">
    <cellStyle name="Hyperlink" xfId="1" builtinId="8"/>
    <cellStyle name="Normal" xfId="0" builtinId="0"/>
    <cellStyle name="Standard 2" xfId="2" xr:uid="{00000000-0005-0000-0000-000002000000}"/>
  </cellStyles>
  <dxfs count="68">
    <dxf>
      <font>
        <color indexed="17"/>
      </font>
      <fill>
        <patternFill>
          <bgColor indexed="42"/>
        </patternFill>
      </fill>
    </dxf>
    <dxf>
      <font>
        <color indexed="17"/>
      </font>
      <fill>
        <patternFill>
          <bgColor indexed="42"/>
        </patternFill>
      </fill>
    </dxf>
    <dxf>
      <font>
        <color indexed="20"/>
      </font>
      <fill>
        <patternFill>
          <bgColor indexed="45"/>
        </patternFill>
      </fill>
    </dxf>
    <dxf>
      <font>
        <color indexed="17"/>
      </font>
      <fill>
        <patternFill>
          <bgColor indexed="42"/>
        </patternFill>
      </fill>
    </dxf>
    <dxf>
      <font>
        <color indexed="20"/>
      </font>
      <fill>
        <patternFill>
          <bgColor indexed="45"/>
        </patternFill>
      </fill>
    </dxf>
    <dxf>
      <font>
        <color indexed="17"/>
      </font>
      <fill>
        <patternFill>
          <bgColor indexed="42"/>
        </patternFill>
      </fill>
    </dxf>
    <dxf>
      <font>
        <color indexed="20"/>
      </font>
      <fill>
        <patternFill>
          <bgColor indexed="45"/>
        </patternFill>
      </fill>
    </dxf>
    <dxf>
      <font>
        <color indexed="17"/>
      </font>
      <fill>
        <patternFill>
          <bgColor indexed="42"/>
        </patternFill>
      </fill>
    </dxf>
    <dxf>
      <font>
        <color indexed="20"/>
      </font>
      <fill>
        <patternFill>
          <bgColor indexed="45"/>
        </patternFill>
      </fill>
    </dxf>
    <dxf>
      <font>
        <color indexed="17"/>
      </font>
      <fill>
        <patternFill>
          <bgColor indexed="42"/>
        </patternFill>
      </fill>
    </dxf>
    <dxf>
      <font>
        <color indexed="20"/>
      </font>
      <fill>
        <patternFill>
          <bgColor indexed="45"/>
        </patternFill>
      </fill>
    </dxf>
    <dxf>
      <font>
        <color indexed="17"/>
      </font>
      <fill>
        <patternFill>
          <bgColor indexed="42"/>
        </patternFill>
      </fill>
    </dxf>
    <dxf>
      <font>
        <color indexed="20"/>
      </font>
      <fill>
        <patternFill>
          <bgColor indexed="45"/>
        </patternFill>
      </fill>
    </dxf>
    <dxf>
      <font>
        <color indexed="17"/>
      </font>
      <fill>
        <patternFill>
          <bgColor indexed="42"/>
        </patternFill>
      </fill>
    </dxf>
    <dxf>
      <font>
        <color indexed="20"/>
      </font>
      <fill>
        <patternFill>
          <bgColor indexed="45"/>
        </patternFill>
      </fill>
    </dxf>
    <dxf>
      <font>
        <color indexed="20"/>
      </font>
      <fill>
        <patternFill>
          <bgColor indexed="45"/>
        </patternFill>
      </fill>
    </dxf>
    <dxf>
      <font>
        <color indexed="17"/>
      </font>
      <fill>
        <patternFill>
          <bgColor indexed="42"/>
        </patternFill>
      </fill>
    </dxf>
    <dxf>
      <font>
        <color indexed="17"/>
      </font>
      <fill>
        <patternFill>
          <bgColor indexed="42"/>
        </patternFill>
      </fill>
    </dxf>
    <dxf>
      <font>
        <color indexed="20"/>
      </font>
      <fill>
        <patternFill>
          <bgColor indexed="45"/>
        </patternFill>
      </fill>
    </dxf>
    <dxf>
      <font>
        <color indexed="20"/>
      </font>
      <fill>
        <patternFill>
          <bgColor indexed="45"/>
        </patternFill>
      </fill>
    </dxf>
    <dxf>
      <font>
        <color indexed="17"/>
      </font>
      <fill>
        <patternFill>
          <bgColor indexed="42"/>
        </patternFill>
      </fill>
    </dxf>
    <dxf>
      <font>
        <color indexed="17"/>
      </font>
      <fill>
        <patternFill>
          <bgColor indexed="42"/>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17"/>
      </font>
      <fill>
        <patternFill>
          <bgColor indexed="42"/>
        </patternFill>
      </fill>
    </dxf>
    <dxf>
      <font>
        <color indexed="17"/>
      </font>
      <fill>
        <patternFill>
          <bgColor indexed="42"/>
        </patternFill>
      </fill>
    </dxf>
    <dxf>
      <font>
        <color indexed="17"/>
      </font>
      <fill>
        <patternFill>
          <bgColor indexed="42"/>
        </patternFill>
      </fill>
    </dxf>
    <dxf>
      <font>
        <color indexed="17"/>
      </font>
      <fill>
        <patternFill>
          <bgColor indexed="42"/>
        </patternFill>
      </fill>
    </dxf>
    <dxf>
      <font>
        <color indexed="20"/>
      </font>
      <fill>
        <patternFill>
          <bgColor indexed="45"/>
        </patternFill>
      </fill>
    </dxf>
    <dxf>
      <font>
        <color indexed="20"/>
      </font>
      <fill>
        <patternFill>
          <bgColor indexed="45"/>
        </patternFill>
      </fill>
    </dxf>
    <dxf>
      <font>
        <color indexed="17"/>
      </font>
      <fill>
        <patternFill>
          <bgColor indexed="42"/>
        </patternFill>
      </fill>
    </dxf>
    <dxf>
      <font>
        <color indexed="17"/>
      </font>
      <fill>
        <patternFill>
          <bgColor indexed="42"/>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17"/>
      </font>
      <fill>
        <patternFill>
          <bgColor indexed="42"/>
        </patternFill>
      </fill>
    </dxf>
    <dxf>
      <font>
        <color indexed="17"/>
      </font>
      <fill>
        <patternFill>
          <bgColor indexed="42"/>
        </patternFill>
      </fill>
    </dxf>
    <dxf>
      <font>
        <color indexed="17"/>
      </font>
      <fill>
        <patternFill>
          <bgColor indexed="42"/>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17"/>
      </font>
      <fill>
        <patternFill>
          <bgColor indexed="42"/>
        </patternFill>
      </fill>
    </dxf>
    <dxf>
      <font>
        <color indexed="17"/>
      </font>
      <fill>
        <patternFill>
          <bgColor indexed="42"/>
        </patternFill>
      </fill>
    </dxf>
    <dxf>
      <font>
        <color indexed="17"/>
      </font>
      <fill>
        <patternFill>
          <bgColor indexed="42"/>
        </patternFill>
      </fill>
    </dxf>
    <dxf>
      <font>
        <color indexed="20"/>
      </font>
      <fill>
        <patternFill>
          <bgColor indexed="45"/>
        </patternFill>
      </fill>
    </dxf>
    <dxf>
      <font>
        <color indexed="20"/>
      </font>
      <fill>
        <patternFill>
          <bgColor indexed="45"/>
        </patternFill>
      </fill>
    </dxf>
    <dxf>
      <font>
        <color rgb="FF006100"/>
      </font>
      <fill>
        <patternFill>
          <bgColor rgb="FFC6EFCE"/>
        </patternFill>
      </fill>
    </dxf>
    <dxf>
      <font>
        <color rgb="FF006100"/>
      </font>
      <fill>
        <patternFill>
          <bgColor rgb="FFC6EFCE"/>
        </patternFill>
      </fill>
    </dxf>
    <dxf>
      <font>
        <color indexed="20"/>
      </font>
      <fill>
        <patternFill>
          <bgColor indexed="45"/>
        </patternFill>
      </fill>
    </dxf>
    <dxf>
      <font>
        <color indexed="20"/>
      </font>
      <fill>
        <patternFill>
          <bgColor indexed="45"/>
        </patternFill>
      </fill>
    </dxf>
    <dxf>
      <font>
        <color rgb="FF006100"/>
      </font>
      <fill>
        <patternFill>
          <bgColor rgb="FFC6EFCE"/>
        </patternFill>
      </fill>
    </dxf>
    <dxf>
      <font>
        <color rgb="FF006100"/>
      </font>
      <fill>
        <patternFill>
          <bgColor rgb="FFC6EFCE"/>
        </patternFill>
      </fill>
    </dxf>
    <dxf>
      <font>
        <color indexed="20"/>
      </font>
      <fill>
        <patternFill>
          <bgColor indexed="45"/>
        </patternFill>
      </fill>
    </dxf>
    <dxf>
      <font>
        <color rgb="FF006100"/>
      </font>
      <fill>
        <patternFill>
          <bgColor rgb="FFC6EF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indexed="52"/>
        </patternFill>
      </fill>
    </dxf>
    <dxf>
      <fill>
        <patternFill>
          <bgColor indexed="52"/>
        </patternFill>
      </fill>
    </dxf>
    <dxf>
      <fill>
        <patternFill>
          <bgColor indexed="52"/>
        </patternFill>
      </fill>
    </dxf>
    <dxf>
      <fill>
        <patternFill>
          <bgColor indexed="52"/>
        </patternFill>
      </fill>
    </dxf>
    <dxf>
      <fill>
        <patternFill>
          <bgColor theme="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609600</xdr:colOff>
      <xdr:row>3</xdr:row>
      <xdr:rowOff>685800</xdr:rowOff>
    </xdr:from>
    <xdr:to>
      <xdr:col>2</xdr:col>
      <xdr:colOff>4904838</xdr:colOff>
      <xdr:row>3</xdr:row>
      <xdr:rowOff>2085800</xdr:rowOff>
    </xdr:to>
    <xdr:pic>
      <xdr:nvPicPr>
        <xdr:cNvPr id="2" name="Image 1">
          <a:extLst>
            <a:ext uri="{FF2B5EF4-FFF2-40B4-BE49-F238E27FC236}">
              <a16:creationId xmlns:a16="http://schemas.microsoft.com/office/drawing/2014/main" id="{2E53298E-5351-C931-5514-A62A32280E9F}"/>
            </a:ext>
          </a:extLst>
        </xdr:cNvPr>
        <xdr:cNvPicPr>
          <a:picLocks noChangeAspect="1"/>
        </xdr:cNvPicPr>
      </xdr:nvPicPr>
      <xdr:blipFill>
        <a:blip xmlns:r="http://schemas.openxmlformats.org/officeDocument/2006/relationships" r:embed="rId1"/>
        <a:stretch>
          <a:fillRect/>
        </a:stretch>
      </xdr:blipFill>
      <xdr:spPr>
        <a:xfrm>
          <a:off x="3190875" y="3924300"/>
          <a:ext cx="4295238" cy="1400000"/>
        </a:xfrm>
        <a:prstGeom prst="rect">
          <a:avLst/>
        </a:prstGeom>
      </xdr:spPr>
    </xdr:pic>
    <xdr:clientData/>
  </xdr:twoCellAnchor>
  <xdr:twoCellAnchor editAs="oneCell">
    <xdr:from>
      <xdr:col>2</xdr:col>
      <xdr:colOff>638175</xdr:colOff>
      <xdr:row>3</xdr:row>
      <xdr:rowOff>2867026</xdr:rowOff>
    </xdr:from>
    <xdr:to>
      <xdr:col>2</xdr:col>
      <xdr:colOff>5172075</xdr:colOff>
      <xdr:row>3</xdr:row>
      <xdr:rowOff>3857626</xdr:rowOff>
    </xdr:to>
    <xdr:pic>
      <xdr:nvPicPr>
        <xdr:cNvPr id="3" name="Image 2">
          <a:extLst>
            <a:ext uri="{FF2B5EF4-FFF2-40B4-BE49-F238E27FC236}">
              <a16:creationId xmlns:a16="http://schemas.microsoft.com/office/drawing/2014/main" id="{BBA95015-CD23-5934-02CA-844AE385AF88}"/>
            </a:ext>
          </a:extLst>
        </xdr:cNvPr>
        <xdr:cNvPicPr>
          <a:picLocks noChangeAspect="1"/>
        </xdr:cNvPicPr>
      </xdr:nvPicPr>
      <xdr:blipFill>
        <a:blip xmlns:r="http://schemas.openxmlformats.org/officeDocument/2006/relationships" r:embed="rId2"/>
        <a:stretch>
          <a:fillRect/>
        </a:stretch>
      </xdr:blipFill>
      <xdr:spPr>
        <a:xfrm>
          <a:off x="3219450" y="6105526"/>
          <a:ext cx="4533900" cy="990600"/>
        </a:xfrm>
        <a:prstGeom prst="rect">
          <a:avLst/>
        </a:prstGeom>
      </xdr:spPr>
    </xdr:pic>
    <xdr:clientData/>
  </xdr:twoCellAnchor>
  <xdr:twoCellAnchor editAs="oneCell">
    <xdr:from>
      <xdr:col>2</xdr:col>
      <xdr:colOff>123825</xdr:colOff>
      <xdr:row>4</xdr:row>
      <xdr:rowOff>1743076</xdr:rowOff>
    </xdr:from>
    <xdr:to>
      <xdr:col>2</xdr:col>
      <xdr:colOff>5600700</xdr:colOff>
      <xdr:row>4</xdr:row>
      <xdr:rowOff>3487200</xdr:rowOff>
    </xdr:to>
    <xdr:pic>
      <xdr:nvPicPr>
        <xdr:cNvPr id="4" name="Image 3">
          <a:extLst>
            <a:ext uri="{FF2B5EF4-FFF2-40B4-BE49-F238E27FC236}">
              <a16:creationId xmlns:a16="http://schemas.microsoft.com/office/drawing/2014/main" id="{D7800883-DCDA-A79C-50D5-8805C38BFCE9}"/>
            </a:ext>
          </a:extLst>
        </xdr:cNvPr>
        <xdr:cNvPicPr>
          <a:picLocks noChangeAspect="1"/>
        </xdr:cNvPicPr>
      </xdr:nvPicPr>
      <xdr:blipFill>
        <a:blip xmlns:r="http://schemas.openxmlformats.org/officeDocument/2006/relationships" r:embed="rId3"/>
        <a:stretch>
          <a:fillRect/>
        </a:stretch>
      </xdr:blipFill>
      <xdr:spPr>
        <a:xfrm>
          <a:off x="2705100" y="9886951"/>
          <a:ext cx="5476875" cy="1744124"/>
        </a:xfrm>
        <a:prstGeom prst="rect">
          <a:avLst/>
        </a:prstGeom>
      </xdr:spPr>
    </xdr:pic>
    <xdr:clientData/>
  </xdr:twoCellAnchor>
  <xdr:twoCellAnchor editAs="oneCell">
    <xdr:from>
      <xdr:col>2</xdr:col>
      <xdr:colOff>1276350</xdr:colOff>
      <xdr:row>5</xdr:row>
      <xdr:rowOff>561975</xdr:rowOff>
    </xdr:from>
    <xdr:to>
      <xdr:col>2</xdr:col>
      <xdr:colOff>4647779</xdr:colOff>
      <xdr:row>5</xdr:row>
      <xdr:rowOff>4342927</xdr:rowOff>
    </xdr:to>
    <xdr:pic>
      <xdr:nvPicPr>
        <xdr:cNvPr id="5" name="Image 4">
          <a:extLst>
            <a:ext uri="{FF2B5EF4-FFF2-40B4-BE49-F238E27FC236}">
              <a16:creationId xmlns:a16="http://schemas.microsoft.com/office/drawing/2014/main" id="{2092E3AB-A046-904C-0980-DB355DD131E1}"/>
            </a:ext>
          </a:extLst>
        </xdr:cNvPr>
        <xdr:cNvPicPr>
          <a:picLocks noChangeAspect="1"/>
        </xdr:cNvPicPr>
      </xdr:nvPicPr>
      <xdr:blipFill>
        <a:blip xmlns:r="http://schemas.openxmlformats.org/officeDocument/2006/relationships" r:embed="rId4"/>
        <a:stretch>
          <a:fillRect/>
        </a:stretch>
      </xdr:blipFill>
      <xdr:spPr>
        <a:xfrm>
          <a:off x="3857625" y="13906500"/>
          <a:ext cx="3371429" cy="3780952"/>
        </a:xfrm>
        <a:prstGeom prst="rect">
          <a:avLst/>
        </a:prstGeom>
      </xdr:spPr>
    </xdr:pic>
    <xdr:clientData/>
  </xdr:twoCellAnchor>
  <xdr:twoCellAnchor editAs="oneCell">
    <xdr:from>
      <xdr:col>2</xdr:col>
      <xdr:colOff>123825</xdr:colOff>
      <xdr:row>6</xdr:row>
      <xdr:rowOff>733425</xdr:rowOff>
    </xdr:from>
    <xdr:to>
      <xdr:col>2</xdr:col>
      <xdr:colOff>2095254</xdr:colOff>
      <xdr:row>6</xdr:row>
      <xdr:rowOff>2114377</xdr:rowOff>
    </xdr:to>
    <xdr:pic>
      <xdr:nvPicPr>
        <xdr:cNvPr id="6" name="Image 5">
          <a:extLst>
            <a:ext uri="{FF2B5EF4-FFF2-40B4-BE49-F238E27FC236}">
              <a16:creationId xmlns:a16="http://schemas.microsoft.com/office/drawing/2014/main" id="{18189640-323D-675A-E0E4-2B994A960CEF}"/>
            </a:ext>
          </a:extLst>
        </xdr:cNvPr>
        <xdr:cNvPicPr>
          <a:picLocks noChangeAspect="1"/>
        </xdr:cNvPicPr>
      </xdr:nvPicPr>
      <xdr:blipFill>
        <a:blip xmlns:r="http://schemas.openxmlformats.org/officeDocument/2006/relationships" r:embed="rId5"/>
        <a:stretch>
          <a:fillRect/>
        </a:stretch>
      </xdr:blipFill>
      <xdr:spPr>
        <a:xfrm>
          <a:off x="2705100" y="18592800"/>
          <a:ext cx="1971429" cy="1380952"/>
        </a:xfrm>
        <a:prstGeom prst="rect">
          <a:avLst/>
        </a:prstGeom>
      </xdr:spPr>
    </xdr:pic>
    <xdr:clientData/>
  </xdr:twoCellAnchor>
  <xdr:twoCellAnchor editAs="oneCell">
    <xdr:from>
      <xdr:col>2</xdr:col>
      <xdr:colOff>2286000</xdr:colOff>
      <xdr:row>6</xdr:row>
      <xdr:rowOff>666750</xdr:rowOff>
    </xdr:from>
    <xdr:to>
      <xdr:col>2</xdr:col>
      <xdr:colOff>6185770</xdr:colOff>
      <xdr:row>6</xdr:row>
      <xdr:rowOff>2200275</xdr:rowOff>
    </xdr:to>
    <xdr:pic>
      <xdr:nvPicPr>
        <xdr:cNvPr id="7" name="Image 6">
          <a:extLst>
            <a:ext uri="{FF2B5EF4-FFF2-40B4-BE49-F238E27FC236}">
              <a16:creationId xmlns:a16="http://schemas.microsoft.com/office/drawing/2014/main" id="{74A9EA82-6907-6FF1-D67D-38B1B0FBC0A5}"/>
            </a:ext>
          </a:extLst>
        </xdr:cNvPr>
        <xdr:cNvPicPr>
          <a:picLocks noChangeAspect="1"/>
        </xdr:cNvPicPr>
      </xdr:nvPicPr>
      <xdr:blipFill>
        <a:blip xmlns:r="http://schemas.openxmlformats.org/officeDocument/2006/relationships" r:embed="rId6"/>
        <a:stretch>
          <a:fillRect/>
        </a:stretch>
      </xdr:blipFill>
      <xdr:spPr>
        <a:xfrm>
          <a:off x="4867275" y="18526125"/>
          <a:ext cx="3899770" cy="1533525"/>
        </a:xfrm>
        <a:prstGeom prst="rect">
          <a:avLst/>
        </a:prstGeom>
      </xdr:spPr>
    </xdr:pic>
    <xdr:clientData/>
  </xdr:twoCellAnchor>
  <xdr:twoCellAnchor>
    <xdr:from>
      <xdr:col>2</xdr:col>
      <xdr:colOff>2114550</xdr:colOff>
      <xdr:row>6</xdr:row>
      <xdr:rowOff>1304925</xdr:rowOff>
    </xdr:from>
    <xdr:to>
      <xdr:col>2</xdr:col>
      <xdr:colOff>2181225</xdr:colOff>
      <xdr:row>6</xdr:row>
      <xdr:rowOff>1438275</xdr:rowOff>
    </xdr:to>
    <xdr:sp macro="" textlink="">
      <xdr:nvSpPr>
        <xdr:cNvPr id="8" name="Flèche : droite 7">
          <a:extLst>
            <a:ext uri="{FF2B5EF4-FFF2-40B4-BE49-F238E27FC236}">
              <a16:creationId xmlns:a16="http://schemas.microsoft.com/office/drawing/2014/main" id="{C0D39943-E71E-E4CD-4A04-DA735722504E}"/>
            </a:ext>
          </a:extLst>
        </xdr:cNvPr>
        <xdr:cNvSpPr/>
      </xdr:nvSpPr>
      <xdr:spPr>
        <a:xfrm>
          <a:off x="4695825" y="19164300"/>
          <a:ext cx="66675" cy="1333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2</xdr:col>
      <xdr:colOff>428625</xdr:colOff>
      <xdr:row>7</xdr:row>
      <xdr:rowOff>704850</xdr:rowOff>
    </xdr:from>
    <xdr:to>
      <xdr:col>2</xdr:col>
      <xdr:colOff>4961958</xdr:colOff>
      <xdr:row>7</xdr:row>
      <xdr:rowOff>4238183</xdr:rowOff>
    </xdr:to>
    <xdr:pic>
      <xdr:nvPicPr>
        <xdr:cNvPr id="9" name="Image 8">
          <a:extLst>
            <a:ext uri="{FF2B5EF4-FFF2-40B4-BE49-F238E27FC236}">
              <a16:creationId xmlns:a16="http://schemas.microsoft.com/office/drawing/2014/main" id="{071D4E10-B83A-3157-96A0-8092F39856F0}"/>
            </a:ext>
          </a:extLst>
        </xdr:cNvPr>
        <xdr:cNvPicPr>
          <a:picLocks noChangeAspect="1"/>
        </xdr:cNvPicPr>
      </xdr:nvPicPr>
      <xdr:blipFill>
        <a:blip xmlns:r="http://schemas.openxmlformats.org/officeDocument/2006/relationships" r:embed="rId7"/>
        <a:stretch>
          <a:fillRect/>
        </a:stretch>
      </xdr:blipFill>
      <xdr:spPr>
        <a:xfrm>
          <a:off x="3009900" y="22021800"/>
          <a:ext cx="4533333" cy="353333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1">
    <pageSetUpPr fitToPage="1"/>
  </sheetPr>
  <dimension ref="A1:Q29"/>
  <sheetViews>
    <sheetView tabSelected="1" view="pageBreakPreview" topLeftCell="A2" zoomScale="70" zoomScaleNormal="50" zoomScaleSheetLayoutView="70" workbookViewId="0">
      <selection activeCell="E5" sqref="E5:M5"/>
    </sheetView>
  </sheetViews>
  <sheetFormatPr defaultColWidth="9.1796875" defaultRowHeight="12.5" x14ac:dyDescent="0.25"/>
  <cols>
    <col min="1" max="1" width="15.26953125" style="22" customWidth="1"/>
    <col min="2" max="2" width="12" style="22" customWidth="1"/>
    <col min="3" max="3" width="15.26953125" style="22" customWidth="1"/>
    <col min="4" max="4" width="11.26953125" style="22" customWidth="1"/>
    <col min="5" max="5" width="12.54296875" style="22" customWidth="1"/>
    <col min="6" max="6" width="19.26953125" style="22" customWidth="1"/>
    <col min="7" max="7" width="1.54296875" style="22" customWidth="1"/>
    <col min="8" max="8" width="11.81640625" style="22" customWidth="1"/>
    <col min="9" max="9" width="0.54296875" style="22" hidden="1" customWidth="1"/>
    <col min="10" max="10" width="13.453125" style="22" customWidth="1"/>
    <col min="11" max="11" width="10.26953125" style="22" customWidth="1"/>
    <col min="12" max="12" width="11.453125" style="22" customWidth="1"/>
    <col min="13" max="13" width="29" style="22" customWidth="1"/>
    <col min="14" max="16384" width="9.1796875" style="22"/>
  </cols>
  <sheetData>
    <row r="1" spans="1:15" ht="44.5" customHeight="1" x14ac:dyDescent="0.5">
      <c r="A1" s="231" t="s">
        <v>111</v>
      </c>
      <c r="B1" s="231"/>
      <c r="C1" s="231"/>
      <c r="D1" s="232" t="s">
        <v>112</v>
      </c>
      <c r="E1" s="232"/>
      <c r="F1" s="232"/>
      <c r="G1" s="232"/>
      <c r="H1" s="232"/>
      <c r="I1" s="232"/>
      <c r="J1" s="232"/>
      <c r="K1" s="232"/>
      <c r="L1" s="231" t="s">
        <v>115</v>
      </c>
      <c r="M1" s="231"/>
      <c r="N1" s="21"/>
      <c r="O1" s="21"/>
    </row>
    <row r="2" spans="1:15" ht="39.65" customHeight="1" x14ac:dyDescent="0.25">
      <c r="A2" s="231"/>
      <c r="B2" s="231"/>
      <c r="C2" s="231"/>
      <c r="D2" s="232"/>
      <c r="E2" s="232"/>
      <c r="F2" s="232"/>
      <c r="G2" s="232"/>
      <c r="H2" s="232"/>
      <c r="I2" s="232"/>
      <c r="J2" s="232"/>
      <c r="K2" s="232"/>
      <c r="L2" s="233" t="s">
        <v>116</v>
      </c>
      <c r="M2" s="233"/>
    </row>
    <row r="3" spans="1:15" ht="48" customHeight="1" x14ac:dyDescent="0.25">
      <c r="A3" s="234"/>
      <c r="B3" s="234"/>
      <c r="C3" s="234"/>
      <c r="D3" s="234"/>
      <c r="E3" s="234"/>
      <c r="F3" s="234"/>
      <c r="G3" s="234"/>
      <c r="H3" s="234"/>
      <c r="I3" s="234"/>
      <c r="J3" s="234"/>
      <c r="K3" s="234"/>
      <c r="L3" s="234"/>
      <c r="M3" s="234"/>
    </row>
    <row r="4" spans="1:15" ht="40" customHeight="1" x14ac:dyDescent="0.25">
      <c r="A4" s="185" t="s">
        <v>94</v>
      </c>
      <c r="B4" s="185"/>
      <c r="C4" s="185"/>
      <c r="D4" s="185"/>
      <c r="E4" s="229" t="s">
        <v>145</v>
      </c>
      <c r="F4" s="229"/>
      <c r="G4" s="229"/>
      <c r="H4" s="229"/>
      <c r="I4" s="229"/>
      <c r="J4" s="229"/>
      <c r="K4" s="229"/>
      <c r="L4" s="229"/>
      <c r="M4" s="230"/>
    </row>
    <row r="5" spans="1:15" ht="40" customHeight="1" x14ac:dyDescent="0.25">
      <c r="A5" s="221" t="s">
        <v>93</v>
      </c>
      <c r="B5" s="221"/>
      <c r="C5" s="221"/>
      <c r="D5" s="221"/>
      <c r="E5" s="226" t="s">
        <v>144</v>
      </c>
      <c r="F5" s="227"/>
      <c r="G5" s="227"/>
      <c r="H5" s="227"/>
      <c r="I5" s="227"/>
      <c r="J5" s="227"/>
      <c r="K5" s="227"/>
      <c r="L5" s="227"/>
      <c r="M5" s="228"/>
    </row>
    <row r="6" spans="1:15" ht="40" customHeight="1" x14ac:dyDescent="0.25">
      <c r="A6" s="185" t="s">
        <v>92</v>
      </c>
      <c r="B6" s="185"/>
      <c r="C6" s="185"/>
      <c r="D6" s="185"/>
      <c r="E6" s="229" t="s">
        <v>134</v>
      </c>
      <c r="F6" s="229"/>
      <c r="G6" s="229"/>
      <c r="H6" s="229"/>
      <c r="I6" s="229"/>
      <c r="J6" s="229"/>
      <c r="K6" s="229"/>
      <c r="L6" s="229"/>
      <c r="M6" s="230"/>
    </row>
    <row r="7" spans="1:15" ht="40" customHeight="1" x14ac:dyDescent="0.25">
      <c r="A7" s="185" t="s">
        <v>95</v>
      </c>
      <c r="B7" s="185"/>
      <c r="C7" s="185"/>
      <c r="D7" s="185"/>
      <c r="E7" s="222" t="s">
        <v>118</v>
      </c>
      <c r="F7" s="222"/>
      <c r="G7" s="222"/>
      <c r="H7" s="222"/>
      <c r="I7" s="222"/>
      <c r="J7" s="222"/>
      <c r="K7" s="222"/>
      <c r="L7" s="222"/>
      <c r="M7" s="223"/>
    </row>
    <row r="8" spans="1:15" ht="40" customHeight="1" x14ac:dyDescent="0.25">
      <c r="A8" s="185" t="s">
        <v>96</v>
      </c>
      <c r="B8" s="185"/>
      <c r="C8" s="185"/>
      <c r="D8" s="185"/>
      <c r="E8" s="218" t="s">
        <v>119</v>
      </c>
      <c r="F8" s="219"/>
      <c r="G8" s="219"/>
      <c r="H8" s="219"/>
      <c r="I8" s="219"/>
      <c r="J8" s="219"/>
      <c r="K8" s="219"/>
      <c r="L8" s="219"/>
      <c r="M8" s="220"/>
    </row>
    <row r="9" spans="1:15" ht="40" customHeight="1" x14ac:dyDescent="0.25">
      <c r="A9" s="221" t="s">
        <v>97</v>
      </c>
      <c r="B9" s="221"/>
      <c r="C9" s="221"/>
      <c r="D9" s="221"/>
      <c r="E9" s="222" t="s">
        <v>119</v>
      </c>
      <c r="F9" s="222"/>
      <c r="G9" s="222"/>
      <c r="H9" s="222"/>
      <c r="I9" s="222"/>
      <c r="J9" s="222"/>
      <c r="K9" s="222"/>
      <c r="L9" s="222"/>
      <c r="M9" s="223"/>
    </row>
    <row r="10" spans="1:15" ht="40" customHeight="1" x14ac:dyDescent="0.5">
      <c r="A10" s="185" t="s">
        <v>98</v>
      </c>
      <c r="B10" s="185"/>
      <c r="C10" s="185"/>
      <c r="D10" s="185"/>
      <c r="E10" s="224" t="s">
        <v>119</v>
      </c>
      <c r="F10" s="224"/>
      <c r="G10" s="224"/>
      <c r="H10" s="224"/>
      <c r="I10" s="224"/>
      <c r="J10" s="224"/>
      <c r="K10" s="224"/>
      <c r="L10" s="224"/>
      <c r="M10" s="225"/>
      <c r="N10" s="23"/>
    </row>
    <row r="11" spans="1:15" ht="40" customHeight="1" x14ac:dyDescent="0.25">
      <c r="A11" s="185" t="s">
        <v>99</v>
      </c>
      <c r="B11" s="185"/>
      <c r="C11" s="185"/>
      <c r="D11" s="185"/>
      <c r="E11" s="215" t="s">
        <v>135</v>
      </c>
      <c r="F11" s="216"/>
      <c r="G11" s="216"/>
      <c r="H11" s="216"/>
      <c r="I11" s="216"/>
      <c r="J11" s="216"/>
      <c r="K11" s="216"/>
      <c r="L11" s="216"/>
      <c r="M11" s="217"/>
    </row>
    <row r="12" spans="1:15" ht="39.75" customHeight="1" x14ac:dyDescent="0.25">
      <c r="A12" s="185" t="s">
        <v>100</v>
      </c>
      <c r="B12" s="185"/>
      <c r="C12" s="185"/>
      <c r="D12" s="185"/>
      <c r="E12" s="216" t="s">
        <v>111</v>
      </c>
      <c r="F12" s="216"/>
      <c r="G12" s="216"/>
      <c r="H12" s="216"/>
      <c r="I12" s="216"/>
      <c r="J12" s="216"/>
      <c r="K12" s="216"/>
      <c r="L12" s="216"/>
      <c r="M12" s="217"/>
    </row>
    <row r="13" spans="1:15" ht="39.75" customHeight="1" x14ac:dyDescent="0.5">
      <c r="A13" s="185" t="s">
        <v>101</v>
      </c>
      <c r="B13" s="185"/>
      <c r="C13" s="185"/>
      <c r="D13" s="185"/>
      <c r="E13" s="186" t="s">
        <v>119</v>
      </c>
      <c r="F13" s="187"/>
      <c r="G13" s="187"/>
      <c r="H13" s="187"/>
      <c r="I13" s="187"/>
      <c r="J13" s="187"/>
      <c r="K13" s="187"/>
      <c r="L13" s="187"/>
      <c r="M13" s="188"/>
      <c r="N13" s="21"/>
    </row>
    <row r="14" spans="1:15" ht="39.75" customHeight="1" x14ac:dyDescent="0.5">
      <c r="A14" s="185" t="s">
        <v>102</v>
      </c>
      <c r="B14" s="185"/>
      <c r="C14" s="185"/>
      <c r="D14" s="185"/>
      <c r="E14" s="186" t="s">
        <v>119</v>
      </c>
      <c r="F14" s="187"/>
      <c r="G14" s="187"/>
      <c r="H14" s="187"/>
      <c r="I14" s="187"/>
      <c r="J14" s="187"/>
      <c r="K14" s="187"/>
      <c r="L14" s="187"/>
      <c r="M14" s="188"/>
      <c r="N14" s="21"/>
    </row>
    <row r="15" spans="1:15" ht="15.75" customHeight="1" x14ac:dyDescent="0.25">
      <c r="A15" s="189"/>
      <c r="B15" s="190"/>
      <c r="C15" s="190"/>
      <c r="D15" s="190"/>
      <c r="E15" s="191"/>
      <c r="F15" s="191"/>
      <c r="G15" s="191"/>
      <c r="H15" s="191"/>
      <c r="I15" s="191"/>
      <c r="J15" s="191"/>
      <c r="K15" s="191"/>
      <c r="L15" s="191"/>
      <c r="M15" s="192"/>
    </row>
    <row r="16" spans="1:15" ht="81" customHeight="1" x14ac:dyDescent="0.4">
      <c r="A16" s="193"/>
      <c r="B16" s="194"/>
      <c r="C16" s="194"/>
      <c r="D16" s="194"/>
      <c r="E16" s="194"/>
      <c r="F16" s="194"/>
      <c r="G16" s="194"/>
      <c r="H16" s="194"/>
      <c r="I16" s="194"/>
      <c r="J16" s="194"/>
      <c r="K16" s="194"/>
      <c r="L16" s="194"/>
      <c r="M16" s="195"/>
    </row>
    <row r="17" spans="1:17" ht="14.25" customHeight="1" x14ac:dyDescent="0.4">
      <c r="A17" s="196"/>
      <c r="B17" s="197"/>
      <c r="C17" s="197"/>
      <c r="D17" s="197"/>
      <c r="E17" s="197"/>
      <c r="F17" s="197"/>
      <c r="G17" s="197"/>
      <c r="H17" s="197"/>
      <c r="I17" s="197"/>
      <c r="J17" s="197"/>
      <c r="K17" s="197"/>
      <c r="L17" s="197"/>
      <c r="M17" s="198"/>
    </row>
    <row r="18" spans="1:17" ht="87" customHeight="1" x14ac:dyDescent="0.45">
      <c r="A18" s="199" t="s">
        <v>90</v>
      </c>
      <c r="B18" s="200"/>
      <c r="C18" s="200"/>
      <c r="D18" s="200"/>
      <c r="E18" s="200"/>
      <c r="F18" s="200"/>
      <c r="G18" s="200"/>
      <c r="H18" s="200"/>
      <c r="I18" s="200"/>
      <c r="J18" s="200"/>
      <c r="K18" s="200"/>
      <c r="L18" s="200"/>
      <c r="M18" s="201"/>
    </row>
    <row r="19" spans="1:17" ht="11.25" customHeight="1" x14ac:dyDescent="0.25">
      <c r="A19" s="202"/>
      <c r="B19" s="191"/>
      <c r="C19" s="191"/>
      <c r="D19" s="191"/>
      <c r="E19" s="191"/>
      <c r="F19" s="191"/>
      <c r="G19" s="191"/>
      <c r="H19" s="191"/>
      <c r="I19" s="191"/>
      <c r="J19" s="191"/>
      <c r="K19" s="191"/>
      <c r="L19" s="191"/>
      <c r="M19" s="192"/>
    </row>
    <row r="20" spans="1:17" ht="24" hidden="1" customHeight="1" x14ac:dyDescent="0.25">
      <c r="A20" s="202"/>
      <c r="B20" s="191"/>
      <c r="C20" s="191"/>
      <c r="D20" s="191"/>
      <c r="E20" s="191"/>
      <c r="F20" s="191"/>
      <c r="G20" s="191"/>
      <c r="H20" s="191"/>
      <c r="I20" s="191"/>
      <c r="J20" s="191"/>
      <c r="K20" s="191"/>
      <c r="L20" s="191"/>
      <c r="M20" s="192"/>
    </row>
    <row r="21" spans="1:17" ht="128.25" customHeight="1" thickBot="1" x14ac:dyDescent="0.8">
      <c r="A21" s="203" t="s">
        <v>117</v>
      </c>
      <c r="B21" s="204"/>
      <c r="C21" s="204"/>
      <c r="D21" s="204"/>
      <c r="E21" s="204"/>
      <c r="F21" s="204"/>
      <c r="G21" s="204"/>
      <c r="H21" s="204"/>
      <c r="I21" s="204"/>
      <c r="J21" s="204"/>
      <c r="K21" s="204"/>
      <c r="L21" s="204"/>
      <c r="M21" s="205"/>
      <c r="Q21" s="21"/>
    </row>
    <row r="22" spans="1:17" ht="39.75" customHeight="1" thickTop="1" x14ac:dyDescent="0.5">
      <c r="A22" s="206" t="s">
        <v>107</v>
      </c>
      <c r="B22" s="207"/>
      <c r="C22" s="207"/>
      <c r="D22" s="208"/>
      <c r="E22" s="24" t="s">
        <v>6</v>
      </c>
      <c r="F22" s="25" t="s">
        <v>120</v>
      </c>
      <c r="G22" s="209" t="s">
        <v>7</v>
      </c>
      <c r="H22" s="210"/>
      <c r="I22" s="210"/>
      <c r="J22" s="210"/>
      <c r="K22" s="211"/>
      <c r="L22" s="25"/>
      <c r="M22" s="30"/>
      <c r="N22" s="21"/>
    </row>
    <row r="23" spans="1:17" ht="7.5" customHeight="1" thickBot="1" x14ac:dyDescent="0.3">
      <c r="A23" s="212"/>
      <c r="B23" s="213"/>
      <c r="C23" s="213"/>
      <c r="D23" s="213"/>
      <c r="E23" s="213"/>
      <c r="F23" s="213"/>
      <c r="G23" s="213"/>
      <c r="H23" s="213"/>
      <c r="I23" s="213"/>
      <c r="J23" s="213"/>
      <c r="K23" s="213"/>
      <c r="L23" s="213"/>
      <c r="M23" s="214"/>
    </row>
    <row r="24" spans="1:17" ht="46.5" customHeight="1" thickBot="1" x14ac:dyDescent="0.3">
      <c r="A24" s="158" t="s">
        <v>105</v>
      </c>
      <c r="B24" s="159"/>
      <c r="C24" s="31" t="s">
        <v>108</v>
      </c>
      <c r="D24" s="26" t="s">
        <v>120</v>
      </c>
      <c r="E24" s="158" t="s">
        <v>110</v>
      </c>
      <c r="F24" s="182"/>
      <c r="G24" s="183"/>
      <c r="H24" s="26" t="s">
        <v>113</v>
      </c>
      <c r="I24" s="95"/>
      <c r="J24" s="176" t="s">
        <v>65</v>
      </c>
      <c r="K24" s="184"/>
      <c r="L24" s="26"/>
      <c r="M24" s="32"/>
    </row>
    <row r="25" spans="1:17" ht="43.5" customHeight="1" thickBot="1" x14ac:dyDescent="0.3">
      <c r="A25" s="169" t="s">
        <v>106</v>
      </c>
      <c r="B25" s="170"/>
      <c r="C25" s="158" t="s">
        <v>104</v>
      </c>
      <c r="D25" s="159"/>
      <c r="E25" s="173" t="s">
        <v>118</v>
      </c>
      <c r="F25" s="174"/>
      <c r="G25" s="174"/>
      <c r="H25" s="175"/>
      <c r="I25" s="176" t="s">
        <v>66</v>
      </c>
      <c r="J25" s="177"/>
      <c r="K25" s="177"/>
      <c r="L25" s="178"/>
      <c r="M25" s="33" t="s">
        <v>142</v>
      </c>
    </row>
    <row r="26" spans="1:17" ht="37.5" customHeight="1" thickBot="1" x14ac:dyDescent="0.3">
      <c r="A26" s="171"/>
      <c r="B26" s="172"/>
      <c r="C26" s="158" t="s">
        <v>103</v>
      </c>
      <c r="D26" s="159"/>
      <c r="E26" s="179" t="s">
        <v>141</v>
      </c>
      <c r="F26" s="180"/>
      <c r="G26" s="180"/>
      <c r="H26" s="181"/>
      <c r="I26" s="176" t="s">
        <v>67</v>
      </c>
      <c r="J26" s="177"/>
      <c r="K26" s="177"/>
      <c r="L26" s="178"/>
      <c r="M26" s="34" t="s">
        <v>143</v>
      </c>
    </row>
    <row r="27" spans="1:17" ht="72.75" customHeight="1" thickBot="1" x14ac:dyDescent="0.3">
      <c r="A27" s="158" t="s">
        <v>109</v>
      </c>
      <c r="B27" s="159"/>
      <c r="C27" s="160" t="s">
        <v>91</v>
      </c>
      <c r="D27" s="161"/>
      <c r="E27" s="161"/>
      <c r="F27" s="161"/>
      <c r="G27" s="161"/>
      <c r="H27" s="161"/>
      <c r="I27" s="161"/>
      <c r="J27" s="161"/>
      <c r="K27" s="161"/>
      <c r="L27" s="161"/>
      <c r="M27" s="162"/>
    </row>
    <row r="28" spans="1:17" ht="88.5" customHeight="1" thickBot="1" x14ac:dyDescent="0.3">
      <c r="A28" s="163"/>
      <c r="B28" s="164"/>
      <c r="C28" s="164"/>
      <c r="D28" s="164"/>
      <c r="E28" s="164"/>
      <c r="F28" s="164"/>
      <c r="G28" s="164"/>
      <c r="H28" s="164"/>
      <c r="I28" s="164"/>
      <c r="J28" s="164"/>
      <c r="K28" s="164"/>
      <c r="L28" s="164"/>
      <c r="M28" s="165"/>
    </row>
    <row r="29" spans="1:17" ht="13" hidden="1" x14ac:dyDescent="0.3">
      <c r="A29" s="166"/>
      <c r="B29" s="167"/>
      <c r="C29" s="167"/>
      <c r="D29" s="167"/>
      <c r="E29" s="167"/>
      <c r="F29" s="167"/>
      <c r="G29" s="167"/>
      <c r="H29" s="167"/>
      <c r="I29" s="167"/>
      <c r="J29" s="167"/>
      <c r="K29" s="167"/>
      <c r="L29" s="167"/>
      <c r="M29" s="168"/>
    </row>
  </sheetData>
  <protectedRanges>
    <protectedRange password="9690" sqref="D24 H24 L24 E25:E26 C27 L1" name="Bereich1_1"/>
    <protectedRange password="9690" sqref="E9:E10 E13:E14" name="Bereich1"/>
  </protectedRanges>
  <mergeCells count="50">
    <mergeCell ref="L1:M1"/>
    <mergeCell ref="A4:D4"/>
    <mergeCell ref="E4:M4"/>
    <mergeCell ref="D1:K2"/>
    <mergeCell ref="A1:C2"/>
    <mergeCell ref="L2:M2"/>
    <mergeCell ref="A3:M3"/>
    <mergeCell ref="A5:D5"/>
    <mergeCell ref="E5:M5"/>
    <mergeCell ref="A6:D6"/>
    <mergeCell ref="E6:M6"/>
    <mergeCell ref="A7:D7"/>
    <mergeCell ref="E7:M7"/>
    <mergeCell ref="A8:D8"/>
    <mergeCell ref="E8:M8"/>
    <mergeCell ref="A9:D9"/>
    <mergeCell ref="E9:M9"/>
    <mergeCell ref="A10:D10"/>
    <mergeCell ref="E10:M10"/>
    <mergeCell ref="A11:D11"/>
    <mergeCell ref="E11:M11"/>
    <mergeCell ref="A12:D12"/>
    <mergeCell ref="E12:M12"/>
    <mergeCell ref="A13:D13"/>
    <mergeCell ref="E13:M13"/>
    <mergeCell ref="A24:B24"/>
    <mergeCell ref="E24:G24"/>
    <mergeCell ref="J24:K24"/>
    <mergeCell ref="A14:D14"/>
    <mergeCell ref="E14:M14"/>
    <mergeCell ref="A15:M15"/>
    <mergeCell ref="A16:M16"/>
    <mergeCell ref="A17:M17"/>
    <mergeCell ref="A18:M18"/>
    <mergeCell ref="A19:M20"/>
    <mergeCell ref="A21:M21"/>
    <mergeCell ref="A22:D22"/>
    <mergeCell ref="G22:K22"/>
    <mergeCell ref="A23:M23"/>
    <mergeCell ref="A27:B27"/>
    <mergeCell ref="C27:M27"/>
    <mergeCell ref="A28:M28"/>
    <mergeCell ref="A29:M29"/>
    <mergeCell ref="A25:B26"/>
    <mergeCell ref="C25:D25"/>
    <mergeCell ref="E25:H25"/>
    <mergeCell ref="I25:L25"/>
    <mergeCell ref="C26:D26"/>
    <mergeCell ref="E26:H26"/>
    <mergeCell ref="I26:L26"/>
  </mergeCells>
  <conditionalFormatting sqref="D24 H24 L24">
    <cfRule type="expression" dxfId="67" priority="2">
      <formula xml:space="preserve"> AND($D$24=$H$24,$H$24=$L$24)</formula>
    </cfRule>
  </conditionalFormatting>
  <conditionalFormatting sqref="E25:H26 M25:M26 C27:M27">
    <cfRule type="cellIs" dxfId="66" priority="4" stopIfTrue="1" operator="equal">
      <formula>""</formula>
    </cfRule>
  </conditionalFormatting>
  <conditionalFormatting sqref="E4:M14">
    <cfRule type="cellIs" dxfId="65" priority="1" stopIfTrue="1" operator="equal">
      <formula>""</formula>
    </cfRule>
  </conditionalFormatting>
  <conditionalFormatting sqref="F22">
    <cfRule type="cellIs" dxfId="64" priority="5" stopIfTrue="1" operator="equal">
      <formula>$L$22</formula>
    </cfRule>
  </conditionalFormatting>
  <conditionalFormatting sqref="L22">
    <cfRule type="cellIs" dxfId="63" priority="6" stopIfTrue="1" operator="equal">
      <formula>$F$22</formula>
    </cfRule>
  </conditionalFormatting>
  <pageMargins left="0.78740157480314965" right="0.78740157480314965" top="0.78740157480314965" bottom="0.98425196850393704" header="0.51181102362204722" footer="0.51181102362204722"/>
  <pageSetup paperSize="9" scale="53" orientation="portrait" r:id="rId1"/>
  <headerFooter scaleWithDoc="0" alignWithMargins="0">
    <oddFooter>&amp;L&amp;"-,Normal"&amp;8form 384en.00</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2">
    <pageSetUpPr fitToPage="1"/>
  </sheetPr>
  <dimension ref="B1:T24"/>
  <sheetViews>
    <sheetView view="pageBreakPreview" zoomScale="85" zoomScaleNormal="100" zoomScaleSheetLayoutView="85" workbookViewId="0">
      <selection activeCell="H17" sqref="H17"/>
    </sheetView>
  </sheetViews>
  <sheetFormatPr defaultColWidth="9.1796875" defaultRowHeight="12.5" x14ac:dyDescent="0.25"/>
  <cols>
    <col min="1" max="1" width="0.1796875" customWidth="1"/>
    <col min="2" max="2" width="12.26953125" customWidth="1"/>
    <col min="3" max="3" width="14.1796875" customWidth="1"/>
    <col min="4" max="4" width="20.7265625" customWidth="1"/>
    <col min="5" max="5" width="20" customWidth="1"/>
    <col min="6" max="6" width="19.453125" customWidth="1"/>
    <col min="7" max="7" width="13.54296875" customWidth="1"/>
    <col min="8" max="8" width="23.453125" customWidth="1"/>
    <col min="9" max="13" width="13.54296875" customWidth="1"/>
    <col min="14" max="14" width="36.54296875" customWidth="1"/>
    <col min="15" max="15" width="4.81640625" customWidth="1"/>
    <col min="16" max="16" width="18.54296875" customWidth="1"/>
  </cols>
  <sheetData>
    <row r="1" spans="2:20" ht="16.5" customHeight="1" thickBot="1" x14ac:dyDescent="0.3">
      <c r="B1" s="235" t="s">
        <v>26</v>
      </c>
      <c r="C1" s="236"/>
      <c r="D1" s="236"/>
      <c r="E1" s="236"/>
      <c r="F1" s="236"/>
      <c r="G1" s="236"/>
      <c r="H1" s="236"/>
      <c r="I1" s="236"/>
      <c r="J1" s="236"/>
      <c r="K1" s="236"/>
      <c r="L1" s="236"/>
      <c r="M1" s="236"/>
      <c r="N1" s="237"/>
    </row>
    <row r="2" spans="2:20" ht="24" customHeight="1" thickBot="1" x14ac:dyDescent="0.3">
      <c r="B2" s="238"/>
      <c r="C2" s="240" t="s">
        <v>2</v>
      </c>
      <c r="D2" s="241"/>
      <c r="E2" s="241"/>
      <c r="F2" s="242"/>
      <c r="G2" s="240" t="s">
        <v>3</v>
      </c>
      <c r="H2" s="241"/>
      <c r="I2" s="241"/>
      <c r="J2" s="242"/>
      <c r="K2" s="250" t="s">
        <v>23</v>
      </c>
      <c r="L2" s="252" t="s">
        <v>24</v>
      </c>
      <c r="M2" s="252" t="s">
        <v>25</v>
      </c>
      <c r="N2" s="254" t="s">
        <v>27</v>
      </c>
      <c r="O2" s="1"/>
      <c r="Q2" s="8"/>
      <c r="R2" s="8"/>
      <c r="S2" s="8"/>
      <c r="T2" s="8"/>
    </row>
    <row r="3" spans="2:20" ht="35.5" customHeight="1" thickBot="1" x14ac:dyDescent="0.3">
      <c r="B3" s="239"/>
      <c r="C3" s="61" t="s">
        <v>18</v>
      </c>
      <c r="D3" s="78" t="s">
        <v>9</v>
      </c>
      <c r="E3" s="78" t="s">
        <v>19</v>
      </c>
      <c r="F3" s="78" t="s">
        <v>20</v>
      </c>
      <c r="G3" s="78" t="s">
        <v>21</v>
      </c>
      <c r="H3" s="78" t="s">
        <v>9</v>
      </c>
      <c r="I3" s="78" t="s">
        <v>22</v>
      </c>
      <c r="J3" s="78" t="s">
        <v>20</v>
      </c>
      <c r="K3" s="251"/>
      <c r="L3" s="253"/>
      <c r="M3" s="253"/>
      <c r="N3" s="255"/>
      <c r="O3" s="1"/>
      <c r="Q3" s="246"/>
      <c r="R3" s="247"/>
      <c r="S3" s="247"/>
      <c r="T3" s="8"/>
    </row>
    <row r="4" spans="2:20" ht="36" customHeight="1" x14ac:dyDescent="0.25">
      <c r="B4" s="35">
        <v>1</v>
      </c>
      <c r="C4" s="62" t="e">
        <f>#REF!/K4</f>
        <v>#REF!</v>
      </c>
      <c r="D4" s="79">
        <v>13454.6914</v>
      </c>
      <c r="E4" s="80">
        <f>(D4*10000000)/(D4+10000000)</f>
        <v>13436.612852061422</v>
      </c>
      <c r="F4" s="81">
        <v>0.02</v>
      </c>
      <c r="G4" s="82" t="e">
        <f>#REF!/K4</f>
        <v>#REF!</v>
      </c>
      <c r="H4" s="83">
        <v>28043.1309</v>
      </c>
      <c r="I4" s="83">
        <f>(H4*10000000)/(H4+10000000)</f>
        <v>27964.709100212236</v>
      </c>
      <c r="J4" s="81">
        <v>0.02</v>
      </c>
      <c r="K4" s="84">
        <v>1E-3</v>
      </c>
      <c r="L4" s="84" t="e">
        <f>#REF!/I4</f>
        <v>#REF!</v>
      </c>
      <c r="M4" s="84" t="e">
        <f>#REF!/I4</f>
        <v>#REF!</v>
      </c>
      <c r="N4" s="85" t="e">
        <f>#REF!</f>
        <v>#REF!</v>
      </c>
      <c r="P4" s="20"/>
      <c r="Q4" s="248"/>
      <c r="R4" s="249"/>
      <c r="S4" s="249"/>
      <c r="T4" s="249"/>
    </row>
    <row r="5" spans="2:20" ht="36" customHeight="1" x14ac:dyDescent="0.25">
      <c r="B5" s="65"/>
      <c r="C5" s="66"/>
      <c r="D5" s="66"/>
      <c r="E5" s="67"/>
      <c r="F5" s="67"/>
      <c r="G5" s="66"/>
      <c r="H5" s="68"/>
      <c r="I5" s="69"/>
      <c r="J5" s="69"/>
      <c r="K5" s="70"/>
      <c r="L5" s="70"/>
      <c r="M5" s="70"/>
      <c r="N5" s="71"/>
      <c r="Q5" s="20"/>
    </row>
    <row r="6" spans="2:20" ht="36" customHeight="1" thickBot="1" x14ac:dyDescent="0.3">
      <c r="B6" s="65"/>
      <c r="C6" s="66"/>
      <c r="D6" s="66"/>
      <c r="E6" s="67"/>
      <c r="F6" s="67"/>
      <c r="G6" s="66"/>
      <c r="H6" s="68"/>
      <c r="I6" s="69"/>
      <c r="J6" s="69"/>
      <c r="K6" s="70"/>
      <c r="L6" s="70"/>
      <c r="M6" s="70"/>
      <c r="N6" s="71"/>
    </row>
    <row r="7" spans="2:20" ht="36.65" customHeight="1" thickBot="1" x14ac:dyDescent="0.35">
      <c r="B7" s="243" t="s">
        <v>13</v>
      </c>
      <c r="C7" s="244"/>
      <c r="D7" s="244"/>
      <c r="E7" s="245"/>
      <c r="F7" s="72"/>
      <c r="G7" s="73"/>
      <c r="H7" s="73"/>
      <c r="I7" s="73"/>
      <c r="J7" s="73"/>
      <c r="K7" s="73"/>
      <c r="L7" s="73"/>
      <c r="M7" s="73"/>
      <c r="N7" s="73"/>
    </row>
    <row r="8" spans="2:20" ht="36.65" customHeight="1" thickBot="1" x14ac:dyDescent="0.3">
      <c r="B8" s="74"/>
      <c r="C8" s="61" t="s">
        <v>18</v>
      </c>
      <c r="D8" s="61" t="s">
        <v>9</v>
      </c>
      <c r="E8" s="50" t="s">
        <v>27</v>
      </c>
      <c r="F8" s="65"/>
      <c r="G8" s="73"/>
      <c r="H8" s="73"/>
      <c r="I8" s="73"/>
      <c r="J8" s="73"/>
      <c r="K8" s="73"/>
      <c r="L8" s="73"/>
      <c r="M8" s="73"/>
      <c r="N8" s="73"/>
    </row>
    <row r="9" spans="2:20" x14ac:dyDescent="0.25">
      <c r="B9" s="35"/>
      <c r="C9" s="62"/>
      <c r="D9" s="63"/>
      <c r="E9" s="64"/>
      <c r="F9" s="71"/>
      <c r="G9" s="73"/>
      <c r="H9" s="73"/>
      <c r="I9" s="73"/>
      <c r="J9" s="73"/>
      <c r="K9" s="73"/>
      <c r="L9" s="73"/>
      <c r="M9" s="73"/>
      <c r="N9" s="73"/>
    </row>
    <row r="10" spans="2:20" ht="13" thickBot="1" x14ac:dyDescent="0.3">
      <c r="B10" s="47"/>
      <c r="C10" s="75"/>
      <c r="D10" s="76"/>
      <c r="E10" s="77"/>
      <c r="F10" s="71"/>
      <c r="G10" s="73"/>
      <c r="H10" s="73"/>
      <c r="I10" s="73"/>
      <c r="J10" s="73"/>
      <c r="K10" s="73"/>
      <c r="L10" s="73"/>
      <c r="M10" s="73"/>
      <c r="N10" s="73"/>
    </row>
    <row r="11" spans="2:20" ht="13" thickBot="1" x14ac:dyDescent="0.3">
      <c r="B11" s="14"/>
      <c r="C11" s="15"/>
      <c r="D11" s="15"/>
      <c r="E11" s="16"/>
      <c r="F11" s="16"/>
      <c r="G11" s="15"/>
      <c r="H11" s="13"/>
      <c r="I11" s="17"/>
      <c r="J11" s="17"/>
      <c r="K11" s="18"/>
      <c r="L11" s="18"/>
      <c r="M11" s="18"/>
    </row>
    <row r="12" spans="2:20" ht="24" customHeight="1" thickBot="1" x14ac:dyDescent="0.35">
      <c r="B12" s="243" t="s">
        <v>121</v>
      </c>
      <c r="C12" s="244"/>
      <c r="D12" s="244"/>
      <c r="E12" s="245"/>
      <c r="G12" s="4"/>
      <c r="H12" s="4"/>
      <c r="I12" s="5"/>
      <c r="J12" s="5"/>
      <c r="K12" s="6"/>
      <c r="L12" s="7"/>
      <c r="M12" s="7"/>
    </row>
    <row r="13" spans="2:20" ht="13" thickBot="1" x14ac:dyDescent="0.3">
      <c r="B13" s="96" t="s">
        <v>122</v>
      </c>
      <c r="C13" s="61" t="s">
        <v>123</v>
      </c>
      <c r="D13" s="61" t="s">
        <v>126</v>
      </c>
      <c r="E13" s="61" t="s">
        <v>124</v>
      </c>
    </row>
    <row r="14" spans="2:20" x14ac:dyDescent="0.25">
      <c r="B14" s="97" t="s">
        <v>125</v>
      </c>
      <c r="C14" s="63" t="s">
        <v>127</v>
      </c>
      <c r="D14" s="63" t="s">
        <v>129</v>
      </c>
      <c r="E14" s="125" t="s">
        <v>128</v>
      </c>
    </row>
    <row r="15" spans="2:20" ht="13" thickBot="1" x14ac:dyDescent="0.3">
      <c r="B15" s="98"/>
      <c r="C15" s="75"/>
      <c r="D15" s="76"/>
      <c r="E15" s="77"/>
    </row>
    <row r="16" spans="2:20" ht="13" thickBot="1" x14ac:dyDescent="0.3"/>
    <row r="17" spans="2:6" ht="13" thickBot="1" x14ac:dyDescent="0.3">
      <c r="D17" s="126" t="s">
        <v>131</v>
      </c>
      <c r="E17" s="140" t="s">
        <v>132</v>
      </c>
      <c r="F17" s="141" t="s">
        <v>137</v>
      </c>
    </row>
    <row r="18" spans="2:6" ht="13.5" thickBot="1" x14ac:dyDescent="0.35">
      <c r="B18" s="243" t="s">
        <v>130</v>
      </c>
      <c r="C18" s="244"/>
      <c r="D18" s="138">
        <v>24</v>
      </c>
      <c r="E18" s="139" t="s">
        <v>133</v>
      </c>
      <c r="F18" s="142"/>
    </row>
    <row r="19" spans="2:6" ht="13.5" thickBot="1" x14ac:dyDescent="0.35">
      <c r="B19" s="243" t="s">
        <v>136</v>
      </c>
      <c r="C19" s="244"/>
      <c r="D19" s="143"/>
      <c r="E19" s="144"/>
      <c r="F19" s="127">
        <v>55</v>
      </c>
    </row>
    <row r="22" spans="2:6" ht="19.899999999999999" customHeight="1" x14ac:dyDescent="0.5">
      <c r="C22" s="28"/>
    </row>
    <row r="23" spans="2:6" ht="22.9" customHeight="1" x14ac:dyDescent="0.25"/>
    <row r="24" spans="2:6" ht="24.65" customHeight="1" x14ac:dyDescent="0.25"/>
  </sheetData>
  <mergeCells count="14">
    <mergeCell ref="B19:C19"/>
    <mergeCell ref="B12:E12"/>
    <mergeCell ref="B18:C18"/>
    <mergeCell ref="Q3:S3"/>
    <mergeCell ref="Q4:T4"/>
    <mergeCell ref="K2:K3"/>
    <mergeCell ref="L2:L3"/>
    <mergeCell ref="M2:M3"/>
    <mergeCell ref="N2:N3"/>
    <mergeCell ref="B1:N1"/>
    <mergeCell ref="B2:B3"/>
    <mergeCell ref="G2:J2"/>
    <mergeCell ref="C2:F2"/>
    <mergeCell ref="B7:E7"/>
  </mergeCells>
  <phoneticPr fontId="1" type="noConversion"/>
  <pageMargins left="0.78740157480314965" right="0.78740157480314965" top="1.1811023622047245" bottom="0.98425196850393704" header="0.51181102362204722" footer="0.51181102362204722"/>
  <pageSetup paperSize="9" scale="56" orientation="landscape" r:id="rId1"/>
  <headerFooter alignWithMargins="0">
    <oddFooter>&amp;Lform 384en.00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1:C10"/>
  <sheetViews>
    <sheetView view="pageBreakPreview" zoomScale="85" zoomScaleNormal="115" zoomScaleSheetLayoutView="85" workbookViewId="0">
      <selection activeCell="I5" sqref="I5"/>
    </sheetView>
  </sheetViews>
  <sheetFormatPr defaultColWidth="9.1796875" defaultRowHeight="12.5" x14ac:dyDescent="0.25"/>
  <cols>
    <col min="1" max="1" width="3" style="2" bestFit="1" customWidth="1"/>
    <col min="2" max="2" width="35.7265625" style="2" bestFit="1" customWidth="1"/>
    <col min="3" max="3" width="93.54296875" style="2" customWidth="1"/>
    <col min="4" max="16384" width="9.1796875" style="2"/>
  </cols>
  <sheetData>
    <row r="1" spans="1:3" ht="51.75" customHeight="1" thickBot="1" x14ac:dyDescent="0.3">
      <c r="A1" s="256" t="s">
        <v>11</v>
      </c>
      <c r="B1" s="236"/>
      <c r="C1" s="237"/>
    </row>
    <row r="2" spans="1:3" ht="52.5" customHeight="1" x14ac:dyDescent="0.25">
      <c r="A2" s="86">
        <v>1</v>
      </c>
      <c r="B2" s="87" t="s">
        <v>8</v>
      </c>
      <c r="C2" s="88" t="s">
        <v>68</v>
      </c>
    </row>
    <row r="3" spans="1:3" ht="90" customHeight="1" x14ac:dyDescent="0.25">
      <c r="A3" s="89">
        <v>2</v>
      </c>
      <c r="B3" s="90" t="s">
        <v>10</v>
      </c>
      <c r="C3" s="88" t="s">
        <v>69</v>
      </c>
    </row>
    <row r="4" spans="1:3" ht="75" x14ac:dyDescent="0.25">
      <c r="A4" s="89">
        <v>3</v>
      </c>
      <c r="B4" s="90" t="s">
        <v>14</v>
      </c>
      <c r="C4" s="88" t="s">
        <v>70</v>
      </c>
    </row>
    <row r="5" spans="1:3" ht="88.5" customHeight="1" x14ac:dyDescent="0.25">
      <c r="A5" s="89">
        <v>5</v>
      </c>
      <c r="B5" s="90" t="s">
        <v>16</v>
      </c>
      <c r="C5" s="88" t="s">
        <v>71</v>
      </c>
    </row>
    <row r="6" spans="1:3" ht="141" customHeight="1" x14ac:dyDescent="0.25">
      <c r="A6" s="89">
        <v>4</v>
      </c>
      <c r="B6" s="90" t="s">
        <v>15</v>
      </c>
      <c r="C6" s="88" t="s">
        <v>72</v>
      </c>
    </row>
    <row r="7" spans="1:3" ht="37.5" x14ac:dyDescent="0.25">
      <c r="A7" s="89">
        <v>6</v>
      </c>
      <c r="B7" s="90" t="s">
        <v>17</v>
      </c>
      <c r="C7" s="88" t="s">
        <v>73</v>
      </c>
    </row>
    <row r="8" spans="1:3" ht="64.5" customHeight="1" x14ac:dyDescent="0.25">
      <c r="A8" s="89">
        <v>7</v>
      </c>
      <c r="B8" s="90" t="s">
        <v>74</v>
      </c>
      <c r="C8" s="88" t="s">
        <v>75</v>
      </c>
    </row>
    <row r="10" spans="1:3" ht="20" x14ac:dyDescent="0.25">
      <c r="B10" s="257"/>
      <c r="C10" s="257"/>
    </row>
  </sheetData>
  <mergeCells count="2">
    <mergeCell ref="A1:C1"/>
    <mergeCell ref="B10:C10"/>
  </mergeCells>
  <phoneticPr fontId="1" type="noConversion"/>
  <pageMargins left="0.78740157480314965" right="0.78740157480314965" top="1.1811023622047245" bottom="0.98425196850393704" header="0.51181102362204722" footer="0.51181102362204722"/>
  <pageSetup paperSize="9" scale="65" orientation="portrait" r:id="rId1"/>
  <headerFooter scaleWithDoc="0" alignWithMargins="0">
    <oddFooter>&amp;L&amp;"-,Normal"&amp;8form 384en.00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E0A9D-B6F0-4848-BC15-DAB9C7CC381C}">
  <sheetPr>
    <pageSetUpPr fitToPage="1"/>
  </sheetPr>
  <dimension ref="A1:C10"/>
  <sheetViews>
    <sheetView view="pageBreakPreview" topLeftCell="A3" zoomScale="70" zoomScaleNormal="115" zoomScaleSheetLayoutView="70" workbookViewId="0">
      <selection activeCell="B3" sqref="B3"/>
    </sheetView>
  </sheetViews>
  <sheetFormatPr defaultColWidth="9.1796875" defaultRowHeight="12.5" x14ac:dyDescent="0.25"/>
  <cols>
    <col min="1" max="1" width="3" style="2" bestFit="1" customWidth="1"/>
    <col min="2" max="2" width="49.7265625" style="2" customWidth="1"/>
    <col min="3" max="3" width="113.1796875" style="2" customWidth="1"/>
    <col min="4" max="16384" width="9.1796875" style="2"/>
  </cols>
  <sheetData>
    <row r="1" spans="1:3" ht="51.75" customHeight="1" thickBot="1" x14ac:dyDescent="0.3">
      <c r="A1" s="256" t="s">
        <v>11</v>
      </c>
      <c r="B1" s="236"/>
      <c r="C1" s="237"/>
    </row>
    <row r="2" spans="1:3" ht="67" customHeight="1" x14ac:dyDescent="0.25">
      <c r="A2" s="86">
        <v>1</v>
      </c>
      <c r="B2" s="87" t="s">
        <v>76</v>
      </c>
      <c r="C2" s="88" t="s">
        <v>77</v>
      </c>
    </row>
    <row r="3" spans="1:3" ht="109.5" customHeight="1" x14ac:dyDescent="0.25">
      <c r="A3" s="89">
        <v>2</v>
      </c>
      <c r="B3" s="90" t="s">
        <v>78</v>
      </c>
      <c r="C3" s="88" t="s">
        <v>79</v>
      </c>
    </row>
    <row r="4" spans="1:3" ht="386.25" customHeight="1" x14ac:dyDescent="0.25">
      <c r="A4" s="258">
        <v>3</v>
      </c>
      <c r="B4" s="91" t="s">
        <v>80</v>
      </c>
      <c r="C4" s="92" t="s">
        <v>81</v>
      </c>
    </row>
    <row r="5" spans="1:3" ht="360" customHeight="1" x14ac:dyDescent="0.25">
      <c r="A5" s="259"/>
      <c r="B5" s="93" t="s">
        <v>82</v>
      </c>
      <c r="C5" s="94" t="s">
        <v>83</v>
      </c>
    </row>
    <row r="6" spans="1:3" ht="355.5" customHeight="1" x14ac:dyDescent="0.25">
      <c r="A6" s="89">
        <v>4</v>
      </c>
      <c r="B6" s="90" t="s">
        <v>84</v>
      </c>
      <c r="C6" s="88" t="s">
        <v>85</v>
      </c>
    </row>
    <row r="7" spans="1:3" ht="232.5" customHeight="1" x14ac:dyDescent="0.25">
      <c r="A7" s="89">
        <v>6</v>
      </c>
      <c r="B7" s="90" t="s">
        <v>86</v>
      </c>
      <c r="C7" s="88" t="s">
        <v>87</v>
      </c>
    </row>
    <row r="8" spans="1:3" ht="346.5" customHeight="1" x14ac:dyDescent="0.25">
      <c r="A8" s="89">
        <v>7</v>
      </c>
      <c r="B8" s="90" t="s">
        <v>88</v>
      </c>
      <c r="C8" s="88" t="s">
        <v>89</v>
      </c>
    </row>
    <row r="10" spans="1:3" ht="20" x14ac:dyDescent="0.25">
      <c r="B10" s="257"/>
      <c r="C10" s="257"/>
    </row>
  </sheetData>
  <mergeCells count="3">
    <mergeCell ref="A1:C1"/>
    <mergeCell ref="B10:C10"/>
    <mergeCell ref="A4:A5"/>
  </mergeCells>
  <pageMargins left="0.82677165354330717" right="0.23622047244094491" top="0.35433070866141736" bottom="0.74803149606299213" header="0.31496062992125984" footer="0.31496062992125984"/>
  <pageSetup paperSize="9" scale="40" orientation="portrait" r:id="rId1"/>
  <headerFooter alignWithMargins="0">
    <oddFooter>&amp;L&amp;"-,Normal"&amp;11form 384en.00</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5">
    <pageSetUpPr fitToPage="1"/>
  </sheetPr>
  <dimension ref="A1:R43"/>
  <sheetViews>
    <sheetView view="pageBreakPreview" topLeftCell="A2" zoomScale="85" zoomScaleNormal="100" zoomScaleSheetLayoutView="85" zoomScalePageLayoutView="80" workbookViewId="0">
      <selection activeCell="A42" sqref="A42"/>
    </sheetView>
  </sheetViews>
  <sheetFormatPr defaultColWidth="9.1796875" defaultRowHeight="12.5" x14ac:dyDescent="0.25"/>
  <cols>
    <col min="1" max="1" width="11.453125" customWidth="1"/>
    <col min="2" max="2" width="15" customWidth="1"/>
    <col min="3" max="3" width="12.453125" customWidth="1"/>
    <col min="4" max="5" width="11.453125" customWidth="1"/>
    <col min="6" max="7" width="4.7265625" customWidth="1"/>
    <col min="8" max="9" width="11.453125" customWidth="1"/>
    <col min="10" max="10" width="14.1796875" bestFit="1" customWidth="1"/>
    <col min="11" max="12" width="11.453125" customWidth="1"/>
    <col min="13" max="13" width="14.1796875" bestFit="1" customWidth="1"/>
    <col min="14" max="15" width="11.453125" customWidth="1"/>
    <col min="16" max="17" width="4.7265625" customWidth="1"/>
  </cols>
  <sheetData>
    <row r="1" spans="1:18" ht="34.5" customHeight="1" thickBot="1" x14ac:dyDescent="0.4">
      <c r="A1" s="260" t="s">
        <v>138</v>
      </c>
      <c r="B1" s="261"/>
      <c r="C1" s="261"/>
      <c r="D1" s="261"/>
      <c r="E1" s="261"/>
      <c r="F1" s="261"/>
      <c r="G1" s="262"/>
      <c r="H1" s="11"/>
      <c r="J1" s="260" t="s">
        <v>44</v>
      </c>
      <c r="K1" s="261"/>
      <c r="L1" s="261"/>
      <c r="M1" s="261"/>
      <c r="N1" s="261"/>
      <c r="O1" s="261"/>
      <c r="P1" s="262"/>
    </row>
    <row r="2" spans="1:18" ht="14" thickBot="1" x14ac:dyDescent="0.4">
      <c r="A2" s="263" t="s">
        <v>12</v>
      </c>
      <c r="B2" s="265" t="s">
        <v>20</v>
      </c>
      <c r="C2" s="267" t="s">
        <v>29</v>
      </c>
      <c r="D2" s="268"/>
      <c r="E2" s="272" t="s">
        <v>30</v>
      </c>
      <c r="F2" s="273"/>
      <c r="G2" s="274"/>
      <c r="H2" s="3"/>
      <c r="J2" s="263" t="s">
        <v>12</v>
      </c>
      <c r="K2" s="265" t="s">
        <v>20</v>
      </c>
      <c r="L2" s="267" t="s">
        <v>29</v>
      </c>
      <c r="M2" s="268"/>
      <c r="N2" s="272" t="s">
        <v>30</v>
      </c>
      <c r="O2" s="273"/>
      <c r="P2" s="274"/>
    </row>
    <row r="3" spans="1:18" x14ac:dyDescent="0.25">
      <c r="A3" s="251"/>
      <c r="B3" s="253"/>
      <c r="C3" s="270" t="s">
        <v>31</v>
      </c>
      <c r="D3" s="270" t="s">
        <v>32</v>
      </c>
      <c r="E3" s="252" t="s">
        <v>41</v>
      </c>
      <c r="F3" s="252" t="s">
        <v>0</v>
      </c>
      <c r="G3" s="254" t="s">
        <v>1</v>
      </c>
      <c r="H3" s="10"/>
      <c r="J3" s="251"/>
      <c r="K3" s="253"/>
      <c r="L3" s="270" t="s">
        <v>31</v>
      </c>
      <c r="M3" s="270" t="s">
        <v>32</v>
      </c>
      <c r="N3" s="252" t="s">
        <v>41</v>
      </c>
      <c r="O3" s="252" t="s">
        <v>0</v>
      </c>
      <c r="P3" s="254" t="s">
        <v>1</v>
      </c>
    </row>
    <row r="4" spans="1:18" ht="12.75" customHeight="1" thickBot="1" x14ac:dyDescent="0.3">
      <c r="A4" s="264"/>
      <c r="B4" s="266"/>
      <c r="C4" s="269"/>
      <c r="D4" s="269"/>
      <c r="E4" s="269"/>
      <c r="F4" s="269"/>
      <c r="G4" s="271"/>
      <c r="H4" s="9"/>
      <c r="J4" s="264"/>
      <c r="K4" s="266"/>
      <c r="L4" s="269"/>
      <c r="M4" s="269"/>
      <c r="N4" s="269"/>
      <c r="O4" s="269"/>
      <c r="P4" s="271"/>
    </row>
    <row r="5" spans="1:18" ht="12.75" customHeight="1" thickBot="1" x14ac:dyDescent="0.3">
      <c r="A5" s="104">
        <v>0</v>
      </c>
      <c r="B5" s="100">
        <v>2.0000000000000002E-5</v>
      </c>
      <c r="C5" s="101">
        <f t="shared" ref="C5:C12" si="0">A5-(A5*B5)-0.1</f>
        <v>-0.1</v>
      </c>
      <c r="D5" s="101">
        <f t="shared" ref="D5:D12" si="1">A5+(A5*B5)+0.1</f>
        <v>0.1</v>
      </c>
      <c r="E5" s="101">
        <v>-1.099E-2</v>
      </c>
      <c r="F5" s="105" t="str">
        <f t="shared" ref="F5:F12" si="2">IF(AND(E5&gt;C5,E5&lt;D5),"X","")</f>
        <v>X</v>
      </c>
      <c r="G5" s="106" t="str">
        <f t="shared" ref="G5:G9" si="3">IF(AND(E5&gt;C5,E5&lt;D5),"","X")</f>
        <v/>
      </c>
      <c r="H5" s="12"/>
      <c r="J5" s="104">
        <v>-2.375</v>
      </c>
      <c r="K5" s="100">
        <v>1.0000000000000001E-5</v>
      </c>
      <c r="L5" s="101">
        <f>J5-(J5*K5)-0.12</f>
        <v>-2.4949762500000001</v>
      </c>
      <c r="M5" s="101">
        <f>J5+(J5*K5)+0.1</f>
        <v>-2.2750237499999999</v>
      </c>
      <c r="N5" s="101">
        <v>-2.3706200000000002</v>
      </c>
      <c r="O5" s="102" t="str">
        <f t="shared" ref="O5:O12" si="4">IF(AND(N5&gt;L5,N5&lt;M5),"X","")</f>
        <v>X</v>
      </c>
      <c r="P5" s="103" t="str">
        <f t="shared" ref="P5:P12" si="5">IF(AND(N5&gt;L5,N5&lt;M5),"","X")</f>
        <v/>
      </c>
    </row>
    <row r="6" spans="1:18" ht="13.5" customHeight="1" thickBot="1" x14ac:dyDescent="0.3">
      <c r="A6" s="104">
        <v>5</v>
      </c>
      <c r="B6" s="100">
        <v>2.0000000000000002E-5</v>
      </c>
      <c r="C6" s="101">
        <f t="shared" si="0"/>
        <v>4.8999000000000006</v>
      </c>
      <c r="D6" s="101">
        <f t="shared" si="1"/>
        <v>5.1000999999999994</v>
      </c>
      <c r="E6" s="101">
        <v>4.9879499999999997</v>
      </c>
      <c r="F6" s="105" t="str">
        <f t="shared" si="2"/>
        <v>X</v>
      </c>
      <c r="G6" s="106" t="str">
        <f t="shared" si="3"/>
        <v/>
      </c>
      <c r="H6" s="12"/>
      <c r="J6" s="104">
        <v>-2</v>
      </c>
      <c r="K6" s="100">
        <v>1.0000000000000001E-5</v>
      </c>
      <c r="L6" s="101">
        <f t="shared" ref="L6:L8" si="6">J6-(J6*K6)-0.12</f>
        <v>-2.11998</v>
      </c>
      <c r="M6" s="101">
        <f t="shared" ref="M6:M8" si="7">J6+(J6*K6)+0.1</f>
        <v>-1.90002</v>
      </c>
      <c r="N6" s="101">
        <v>-1.9949699999999999</v>
      </c>
      <c r="O6" s="105" t="str">
        <f t="shared" si="4"/>
        <v>X</v>
      </c>
      <c r="P6" s="106" t="str">
        <f t="shared" si="5"/>
        <v/>
      </c>
    </row>
    <row r="7" spans="1:18" ht="13" thickBot="1" x14ac:dyDescent="0.3">
      <c r="A7" s="104">
        <v>10.003</v>
      </c>
      <c r="B7" s="100">
        <v>2.0000000000000002E-5</v>
      </c>
      <c r="C7" s="101">
        <f t="shared" si="0"/>
        <v>9.9027999400000013</v>
      </c>
      <c r="D7" s="101">
        <f t="shared" si="1"/>
        <v>10.103200059999999</v>
      </c>
      <c r="E7" s="101">
        <v>9.9917599999999993</v>
      </c>
      <c r="F7" s="105" t="str">
        <f t="shared" si="2"/>
        <v>X</v>
      </c>
      <c r="G7" s="106" t="str">
        <f t="shared" si="3"/>
        <v/>
      </c>
      <c r="H7" s="12"/>
      <c r="J7" s="104">
        <v>-1.75</v>
      </c>
      <c r="K7" s="100">
        <v>1.0000000000000001E-5</v>
      </c>
      <c r="L7" s="101">
        <f t="shared" si="6"/>
        <v>-1.8699824999999999</v>
      </c>
      <c r="M7" s="101">
        <f t="shared" si="7"/>
        <v>-1.6500174999999999</v>
      </c>
      <c r="N7" s="101">
        <v>-1.74492</v>
      </c>
      <c r="O7" s="105" t="str">
        <f t="shared" si="4"/>
        <v>X</v>
      </c>
      <c r="P7" s="106" t="str">
        <f t="shared" si="5"/>
        <v/>
      </c>
    </row>
    <row r="8" spans="1:18" ht="13" thickBot="1" x14ac:dyDescent="0.3">
      <c r="A8" s="104">
        <v>15</v>
      </c>
      <c r="B8" s="100">
        <v>2.0000000000000002E-5</v>
      </c>
      <c r="C8" s="101">
        <f t="shared" si="0"/>
        <v>14.899700000000001</v>
      </c>
      <c r="D8" s="101">
        <f t="shared" si="1"/>
        <v>15.100299999999999</v>
      </c>
      <c r="E8" s="101">
        <v>14.978479999999999</v>
      </c>
      <c r="F8" s="105" t="str">
        <f t="shared" si="2"/>
        <v>X</v>
      </c>
      <c r="G8" s="106" t="str">
        <f t="shared" si="3"/>
        <v/>
      </c>
      <c r="H8" s="12"/>
      <c r="J8" s="104">
        <v>-1.5</v>
      </c>
      <c r="K8" s="100">
        <v>1.0000000000000001E-5</v>
      </c>
      <c r="L8" s="101">
        <f t="shared" si="6"/>
        <v>-1.6199849999999998</v>
      </c>
      <c r="M8" s="101">
        <f t="shared" si="7"/>
        <v>-1.400015</v>
      </c>
      <c r="N8" s="101">
        <v>-1.4962599999999999</v>
      </c>
      <c r="O8" s="105" t="str">
        <f t="shared" si="4"/>
        <v>X</v>
      </c>
      <c r="P8" s="106" t="str">
        <f t="shared" si="5"/>
        <v/>
      </c>
    </row>
    <row r="9" spans="1:18" ht="16.5" customHeight="1" thickBot="1" x14ac:dyDescent="0.3">
      <c r="A9" s="107">
        <v>20</v>
      </c>
      <c r="B9" s="100">
        <v>2.0000000000000002E-5</v>
      </c>
      <c r="C9" s="101">
        <f t="shared" si="0"/>
        <v>19.8996</v>
      </c>
      <c r="D9" s="101">
        <f t="shared" si="1"/>
        <v>20.1004</v>
      </c>
      <c r="E9" s="101">
        <v>19.989619999999999</v>
      </c>
      <c r="F9" s="108" t="str">
        <f t="shared" si="2"/>
        <v>X</v>
      </c>
      <c r="G9" s="109" t="str">
        <f t="shared" si="3"/>
        <v/>
      </c>
      <c r="H9" s="12"/>
      <c r="J9" s="107">
        <v>-1.25</v>
      </c>
      <c r="K9" s="100">
        <v>1.0000000000000001E-5</v>
      </c>
      <c r="L9" s="101">
        <f>J9-(J9*K9)-0.12</f>
        <v>-1.3699875000000001</v>
      </c>
      <c r="M9" s="101">
        <f>J9+(J9*K9)+0.1</f>
        <v>-1.1500124999999999</v>
      </c>
      <c r="N9" s="101">
        <v>-1.2459</v>
      </c>
      <c r="O9" s="108" t="str">
        <f t="shared" si="4"/>
        <v>X</v>
      </c>
      <c r="P9" s="109" t="str">
        <f t="shared" si="5"/>
        <v/>
      </c>
    </row>
    <row r="10" spans="1:18" ht="16.5" customHeight="1" thickBot="1" x14ac:dyDescent="0.3">
      <c r="A10" s="104">
        <v>25</v>
      </c>
      <c r="B10" s="100">
        <v>2.0000000000000002E-5</v>
      </c>
      <c r="C10" s="101">
        <f t="shared" si="0"/>
        <v>24.8995</v>
      </c>
      <c r="D10" s="101">
        <f t="shared" si="1"/>
        <v>25.1005</v>
      </c>
      <c r="E10" s="101">
        <v>24.97757</v>
      </c>
      <c r="F10" s="108" t="str">
        <f t="shared" si="2"/>
        <v>X</v>
      </c>
      <c r="G10" s="109"/>
      <c r="H10" s="12"/>
      <c r="J10" s="104">
        <v>-1</v>
      </c>
      <c r="K10" s="100">
        <v>1.0000000000000001E-5</v>
      </c>
      <c r="L10" s="101">
        <f t="shared" ref="L10:L12" si="8">J10-(J10*K10)-0.12</f>
        <v>-1.11999</v>
      </c>
      <c r="M10" s="101">
        <f t="shared" ref="M10:M12" si="9">J10+(J10*K10)+0.1</f>
        <v>-0.90001000000000009</v>
      </c>
      <c r="N10" s="145">
        <v>-0.99592000000000003</v>
      </c>
      <c r="O10" s="148" t="str">
        <f t="shared" si="4"/>
        <v>X</v>
      </c>
      <c r="P10" s="109" t="str">
        <f t="shared" si="5"/>
        <v/>
      </c>
    </row>
    <row r="11" spans="1:18" ht="16.5" customHeight="1" thickBot="1" x14ac:dyDescent="0.3">
      <c r="A11" s="104">
        <v>30</v>
      </c>
      <c r="B11" s="100">
        <v>2.0000000000000002E-5</v>
      </c>
      <c r="C11" s="101">
        <f t="shared" si="0"/>
        <v>29.8994</v>
      </c>
      <c r="D11" s="101">
        <f t="shared" si="1"/>
        <v>30.1006</v>
      </c>
      <c r="E11" s="101">
        <v>29.978940000000001</v>
      </c>
      <c r="F11" s="108" t="str">
        <f t="shared" si="2"/>
        <v>X</v>
      </c>
      <c r="G11" s="109"/>
      <c r="H11" s="12"/>
      <c r="J11" s="104">
        <v>-0.75</v>
      </c>
      <c r="K11" s="100">
        <v>1.0000000000000001E-5</v>
      </c>
      <c r="L11" s="101">
        <f t="shared" si="8"/>
        <v>-0.86999249999999995</v>
      </c>
      <c r="M11" s="101">
        <f t="shared" si="9"/>
        <v>-0.65000750000000007</v>
      </c>
      <c r="N11" s="145">
        <v>-0.74580000000000002</v>
      </c>
      <c r="O11" s="148" t="str">
        <f t="shared" si="4"/>
        <v>X</v>
      </c>
      <c r="P11" s="109" t="str">
        <f t="shared" si="5"/>
        <v/>
      </c>
    </row>
    <row r="12" spans="1:18" ht="13" thickBot="1" x14ac:dyDescent="0.3">
      <c r="A12" s="104">
        <v>35</v>
      </c>
      <c r="B12" s="100">
        <v>2.0000000000000002E-5</v>
      </c>
      <c r="C12" s="101">
        <f t="shared" si="0"/>
        <v>34.899299999999997</v>
      </c>
      <c r="D12" s="101">
        <f t="shared" si="1"/>
        <v>35.100700000000003</v>
      </c>
      <c r="E12" s="101">
        <v>34.980319999999999</v>
      </c>
      <c r="F12" s="108" t="str">
        <f t="shared" si="2"/>
        <v>X</v>
      </c>
      <c r="G12" s="109"/>
      <c r="H12" s="12"/>
      <c r="J12" s="104">
        <v>-0.5</v>
      </c>
      <c r="K12" s="100">
        <v>1.0000000000000001E-5</v>
      </c>
      <c r="L12" s="101">
        <f t="shared" si="8"/>
        <v>-0.61999500000000007</v>
      </c>
      <c r="M12" s="101">
        <f t="shared" si="9"/>
        <v>-0.40000500000000005</v>
      </c>
      <c r="N12" s="145">
        <v>-0.49578</v>
      </c>
      <c r="O12" s="149" t="str">
        <f t="shared" si="4"/>
        <v>X</v>
      </c>
      <c r="P12" s="109" t="str">
        <f t="shared" si="5"/>
        <v/>
      </c>
    </row>
    <row r="13" spans="1:18" x14ac:dyDescent="0.25">
      <c r="A13" s="148"/>
      <c r="B13" s="148"/>
      <c r="C13" s="148"/>
      <c r="D13" s="148"/>
      <c r="E13" s="148"/>
      <c r="F13" s="148"/>
      <c r="G13" s="148"/>
      <c r="H13" s="12"/>
      <c r="J13" s="149"/>
      <c r="K13" s="149"/>
      <c r="L13" s="149"/>
      <c r="M13" s="149"/>
      <c r="N13" s="149"/>
      <c r="O13" s="149"/>
      <c r="P13" s="148"/>
    </row>
    <row r="14" spans="1:18" x14ac:dyDescent="0.25">
      <c r="A14" s="148"/>
      <c r="B14" s="148"/>
      <c r="C14" s="148"/>
      <c r="D14" s="148"/>
      <c r="E14" s="148"/>
      <c r="F14" s="148"/>
      <c r="G14" s="148"/>
      <c r="H14" s="12"/>
      <c r="J14" s="149"/>
      <c r="K14" s="149"/>
      <c r="L14" s="149"/>
      <c r="M14" s="149"/>
      <c r="N14" s="149"/>
      <c r="O14" s="149"/>
      <c r="P14" s="148"/>
    </row>
    <row r="15" spans="1:18" ht="13" thickBot="1" x14ac:dyDescent="0.3">
      <c r="H15" s="12"/>
    </row>
    <row r="16" spans="1:18" ht="41.25" customHeight="1" thickBot="1" x14ac:dyDescent="0.4">
      <c r="A16" s="260" t="s">
        <v>139</v>
      </c>
      <c r="B16" s="261"/>
      <c r="C16" s="261"/>
      <c r="D16" s="261"/>
      <c r="E16" s="261"/>
      <c r="F16" s="261"/>
      <c r="G16" s="262"/>
      <c r="H16" s="12"/>
      <c r="J16" s="260" t="s">
        <v>45</v>
      </c>
      <c r="K16" s="261"/>
      <c r="L16" s="261"/>
      <c r="M16" s="261"/>
      <c r="N16" s="261"/>
      <c r="O16" s="261"/>
      <c r="P16" s="262"/>
      <c r="R16" s="19"/>
    </row>
    <row r="17" spans="1:17" ht="16.5" customHeight="1" thickBot="1" x14ac:dyDescent="0.4">
      <c r="A17" s="263" t="s">
        <v>12</v>
      </c>
      <c r="B17" s="265" t="s">
        <v>20</v>
      </c>
      <c r="C17" s="267" t="s">
        <v>29</v>
      </c>
      <c r="D17" s="268"/>
      <c r="E17" s="272" t="s">
        <v>30</v>
      </c>
      <c r="F17" s="273"/>
      <c r="G17" s="274"/>
      <c r="J17" s="35" t="s">
        <v>12</v>
      </c>
      <c r="K17" s="36" t="s">
        <v>20</v>
      </c>
      <c r="L17" s="37" t="s">
        <v>29</v>
      </c>
      <c r="M17" s="38"/>
      <c r="N17" s="39" t="s">
        <v>30</v>
      </c>
      <c r="O17" s="40"/>
      <c r="P17" s="41"/>
    </row>
    <row r="18" spans="1:17" ht="21" x14ac:dyDescent="0.25">
      <c r="A18" s="251"/>
      <c r="B18" s="253"/>
      <c r="C18" s="270" t="s">
        <v>31</v>
      </c>
      <c r="D18" s="270" t="s">
        <v>32</v>
      </c>
      <c r="E18" s="252" t="s">
        <v>41</v>
      </c>
      <c r="F18" s="252" t="s">
        <v>0</v>
      </c>
      <c r="G18" s="254" t="s">
        <v>1</v>
      </c>
      <c r="J18" s="42"/>
      <c r="K18" s="43"/>
      <c r="L18" s="44" t="s">
        <v>31</v>
      </c>
      <c r="M18" s="44" t="s">
        <v>32</v>
      </c>
      <c r="N18" s="45" t="s">
        <v>41</v>
      </c>
      <c r="O18" s="45" t="s">
        <v>0</v>
      </c>
      <c r="P18" s="46" t="s">
        <v>1</v>
      </c>
    </row>
    <row r="19" spans="1:17" ht="12.75" customHeight="1" thickBot="1" x14ac:dyDescent="0.3">
      <c r="A19" s="264"/>
      <c r="B19" s="266"/>
      <c r="C19" s="269"/>
      <c r="D19" s="269"/>
      <c r="E19" s="269"/>
      <c r="F19" s="269"/>
      <c r="G19" s="271"/>
      <c r="J19" s="47"/>
      <c r="K19" s="48"/>
      <c r="L19" s="49"/>
      <c r="M19" s="49"/>
      <c r="N19" s="49"/>
      <c r="O19" s="49"/>
      <c r="P19" s="50"/>
    </row>
    <row r="20" spans="1:17" ht="13" thickBot="1" x14ac:dyDescent="0.3">
      <c r="A20" s="104">
        <v>0</v>
      </c>
      <c r="B20" s="100">
        <v>2.0000000000000002E-5</v>
      </c>
      <c r="C20" s="101">
        <f>A20-(A20*B20)-0.1</f>
        <v>-0.1</v>
      </c>
      <c r="D20" s="101">
        <f>A20+(A20*B20)+0.1</f>
        <v>0.1</v>
      </c>
      <c r="E20" s="101">
        <v>-1.221E-2</v>
      </c>
      <c r="F20" s="102" t="str">
        <f t="shared" ref="F20:F27" si="10">IF(AND(E20&gt;C20,E20&lt;D20),"X","")</f>
        <v>X</v>
      </c>
      <c r="G20" s="103" t="str">
        <f t="shared" ref="G20:G27" si="11">IF(AND(E20&gt;C20,E20&lt;D20),"","X")</f>
        <v/>
      </c>
      <c r="J20" s="104">
        <v>-2.375</v>
      </c>
      <c r="K20" s="100">
        <v>1.0000000000000001E-5</v>
      </c>
      <c r="L20" s="101">
        <f>J20-(J20*K20)-0.12</f>
        <v>-2.4949762500000001</v>
      </c>
      <c r="M20" s="101">
        <f>J20+(J20*K20)+0.1</f>
        <v>-2.2750237499999999</v>
      </c>
      <c r="N20" s="104">
        <v>-2.3677299999999999</v>
      </c>
      <c r="O20" s="102" t="str">
        <f t="shared" ref="O20:O27" si="12">IF(AND(N20&gt;L20,N20&lt;M20),"X","")</f>
        <v>X</v>
      </c>
      <c r="P20" s="103" t="str">
        <f t="shared" ref="P20:P27" si="13">IF(AND(N20&gt;L20,N20&lt;M20),"","X")</f>
        <v/>
      </c>
    </row>
    <row r="21" spans="1:17" ht="13" thickBot="1" x14ac:dyDescent="0.3">
      <c r="A21" s="104">
        <v>5</v>
      </c>
      <c r="B21" s="100">
        <v>2.0000000000000002E-5</v>
      </c>
      <c r="C21" s="101">
        <f t="shared" ref="C21:C27" si="14">A21-(A21*B21)-0.1</f>
        <v>4.8999000000000006</v>
      </c>
      <c r="D21" s="101">
        <f t="shared" ref="D21:D27" si="15">A21+(A21*B21)+0.1</f>
        <v>5.1000999999999994</v>
      </c>
      <c r="E21" s="101">
        <v>4.9855</v>
      </c>
      <c r="F21" s="105" t="str">
        <f t="shared" si="10"/>
        <v>X</v>
      </c>
      <c r="G21" s="106" t="str">
        <f t="shared" si="11"/>
        <v/>
      </c>
      <c r="J21" s="104">
        <v>-2</v>
      </c>
      <c r="K21" s="100">
        <v>1.0000000000000001E-5</v>
      </c>
      <c r="L21" s="101">
        <f t="shared" ref="L21:L27" si="16">J21-(J21*K21)-0.12</f>
        <v>-2.11998</v>
      </c>
      <c r="M21" s="101">
        <f>J21+(J21*K21)+0.1</f>
        <v>-1.90002</v>
      </c>
      <c r="N21" s="104">
        <v>-1.9917800000000001</v>
      </c>
      <c r="O21" s="102" t="str">
        <f t="shared" si="12"/>
        <v>X</v>
      </c>
      <c r="P21" s="106" t="str">
        <f t="shared" si="13"/>
        <v/>
      </c>
    </row>
    <row r="22" spans="1:17" ht="13" thickBot="1" x14ac:dyDescent="0.3">
      <c r="A22" s="104">
        <v>10</v>
      </c>
      <c r="B22" s="100">
        <v>2.0000000000000002E-5</v>
      </c>
      <c r="C22" s="101">
        <f t="shared" si="14"/>
        <v>9.8998000000000008</v>
      </c>
      <c r="D22" s="101">
        <f t="shared" si="15"/>
        <v>10.100199999999999</v>
      </c>
      <c r="E22" s="101">
        <v>9.9929799999999993</v>
      </c>
      <c r="F22" s="105" t="str">
        <f t="shared" si="10"/>
        <v>X</v>
      </c>
      <c r="G22" s="106" t="str">
        <f t="shared" si="11"/>
        <v/>
      </c>
      <c r="J22" s="104">
        <v>-1.75</v>
      </c>
      <c r="K22" s="100">
        <v>1.0000000000000001E-5</v>
      </c>
      <c r="L22" s="101">
        <f t="shared" si="16"/>
        <v>-1.8699824999999999</v>
      </c>
      <c r="M22" s="101">
        <f t="shared" ref="M22:M23" si="17">J22+(J22*K22)+0.1</f>
        <v>-1.6500174999999999</v>
      </c>
      <c r="N22" s="104">
        <v>-1.74186</v>
      </c>
      <c r="O22" s="105" t="str">
        <f t="shared" si="12"/>
        <v>X</v>
      </c>
      <c r="P22" s="106" t="str">
        <f t="shared" si="13"/>
        <v/>
      </c>
    </row>
    <row r="23" spans="1:17" ht="13" thickBot="1" x14ac:dyDescent="0.3">
      <c r="A23" s="104">
        <v>15</v>
      </c>
      <c r="B23" s="100">
        <v>2.0000000000000002E-5</v>
      </c>
      <c r="C23" s="101">
        <f t="shared" si="14"/>
        <v>14.899700000000001</v>
      </c>
      <c r="D23" s="101">
        <f t="shared" si="15"/>
        <v>15.100299999999999</v>
      </c>
      <c r="E23" s="101">
        <v>14.995570000000001</v>
      </c>
      <c r="F23" s="105" t="str">
        <f t="shared" si="10"/>
        <v>X</v>
      </c>
      <c r="G23" s="106" t="str">
        <f t="shared" si="11"/>
        <v/>
      </c>
      <c r="J23" s="104">
        <v>-1.5</v>
      </c>
      <c r="K23" s="100">
        <v>1.0000000000000001E-5</v>
      </c>
      <c r="L23" s="101">
        <f t="shared" si="16"/>
        <v>-1.6199849999999998</v>
      </c>
      <c r="M23" s="101">
        <f t="shared" si="17"/>
        <v>-1.400015</v>
      </c>
      <c r="N23" s="104">
        <v>-1.49282</v>
      </c>
      <c r="O23" s="105" t="str">
        <f t="shared" si="12"/>
        <v>X</v>
      </c>
      <c r="P23" s="106" t="str">
        <f t="shared" si="13"/>
        <v/>
      </c>
    </row>
    <row r="24" spans="1:17" ht="13" thickBot="1" x14ac:dyDescent="0.3">
      <c r="A24" s="107">
        <v>20</v>
      </c>
      <c r="B24" s="100">
        <v>2.0000000000000002E-5</v>
      </c>
      <c r="C24" s="101">
        <f t="shared" si="14"/>
        <v>19.8996</v>
      </c>
      <c r="D24" s="101">
        <f t="shared" si="15"/>
        <v>20.1004</v>
      </c>
      <c r="E24" s="101">
        <v>19.990839999999999</v>
      </c>
      <c r="F24" s="108" t="str">
        <f t="shared" si="10"/>
        <v>X</v>
      </c>
      <c r="G24" s="109" t="str">
        <f t="shared" si="11"/>
        <v/>
      </c>
      <c r="J24" s="107">
        <v>-1.25</v>
      </c>
      <c r="K24" s="100">
        <v>1.0000000000000001E-5</v>
      </c>
      <c r="L24" s="101">
        <f t="shared" si="16"/>
        <v>-1.3699875000000001</v>
      </c>
      <c r="M24" s="101">
        <f>J24+(J24*K24)+0.1</f>
        <v>-1.1500124999999999</v>
      </c>
      <c r="N24" s="107">
        <v>-1.24237</v>
      </c>
      <c r="O24" s="108" t="str">
        <f t="shared" si="12"/>
        <v>X</v>
      </c>
      <c r="P24" s="109" t="str">
        <f t="shared" si="13"/>
        <v/>
      </c>
    </row>
    <row r="25" spans="1:17" ht="13" thickBot="1" x14ac:dyDescent="0.3">
      <c r="A25" s="104">
        <v>25</v>
      </c>
      <c r="B25" s="100">
        <v>2.0000000000000002E-5</v>
      </c>
      <c r="C25" s="101">
        <f t="shared" si="14"/>
        <v>24.8995</v>
      </c>
      <c r="D25" s="101">
        <f t="shared" si="15"/>
        <v>25.1005</v>
      </c>
      <c r="E25" s="147">
        <v>24.99588</v>
      </c>
      <c r="F25" s="148" t="str">
        <f t="shared" si="10"/>
        <v>X</v>
      </c>
      <c r="G25" s="148" t="str">
        <f t="shared" si="11"/>
        <v/>
      </c>
      <c r="J25" s="104">
        <v>-1</v>
      </c>
      <c r="K25" s="100">
        <v>1.0000000000000001E-5</v>
      </c>
      <c r="L25" s="101">
        <f t="shared" si="16"/>
        <v>-1.11999</v>
      </c>
      <c r="M25" s="101">
        <f t="shared" ref="M25:M27" si="18">J25+(J25*K25)+0.1</f>
        <v>-0.90001000000000009</v>
      </c>
      <c r="N25" s="146">
        <v>-0.99248000000000003</v>
      </c>
      <c r="O25" s="148" t="str">
        <f t="shared" si="12"/>
        <v>X</v>
      </c>
      <c r="P25" s="109" t="str">
        <f t="shared" si="13"/>
        <v/>
      </c>
    </row>
    <row r="26" spans="1:17" ht="13" thickBot="1" x14ac:dyDescent="0.3">
      <c r="A26" s="104">
        <v>30</v>
      </c>
      <c r="B26" s="100">
        <v>2.0000000000000002E-5</v>
      </c>
      <c r="C26" s="101">
        <f t="shared" si="14"/>
        <v>29.8994</v>
      </c>
      <c r="D26" s="101">
        <f t="shared" si="15"/>
        <v>30.1006</v>
      </c>
      <c r="E26" s="147">
        <v>29.986270000000001</v>
      </c>
      <c r="F26" s="148" t="str">
        <f t="shared" si="10"/>
        <v>X</v>
      </c>
      <c r="G26" s="148" t="str">
        <f t="shared" si="11"/>
        <v/>
      </c>
      <c r="I26" s="73"/>
      <c r="J26" s="104">
        <v>-0.75</v>
      </c>
      <c r="K26" s="100">
        <v>1.0000000000000001E-5</v>
      </c>
      <c r="L26" s="101">
        <f t="shared" si="16"/>
        <v>-0.86999249999999995</v>
      </c>
      <c r="M26" s="101">
        <f t="shared" si="18"/>
        <v>-0.65000750000000007</v>
      </c>
      <c r="N26" s="146">
        <v>-0.74236999999999997</v>
      </c>
      <c r="O26" s="148" t="str">
        <f t="shared" si="12"/>
        <v>X</v>
      </c>
      <c r="P26" s="109" t="str">
        <f t="shared" si="13"/>
        <v/>
      </c>
      <c r="Q26" s="73"/>
    </row>
    <row r="27" spans="1:17" ht="13" thickBot="1" x14ac:dyDescent="0.3">
      <c r="A27" s="104">
        <v>35</v>
      </c>
      <c r="B27" s="100">
        <v>2.0000000000000002E-5</v>
      </c>
      <c r="C27" s="101">
        <f t="shared" si="14"/>
        <v>34.899299999999997</v>
      </c>
      <c r="D27" s="101">
        <f t="shared" si="15"/>
        <v>35.100700000000003</v>
      </c>
      <c r="E27" s="147">
        <v>34.991300000000003</v>
      </c>
      <c r="F27" s="149" t="str">
        <f t="shared" si="10"/>
        <v>X</v>
      </c>
      <c r="G27" s="149" t="str">
        <f t="shared" si="11"/>
        <v/>
      </c>
      <c r="J27" s="104">
        <v>-0.5</v>
      </c>
      <c r="K27" s="100">
        <v>1.0000000000000001E-5</v>
      </c>
      <c r="L27" s="101">
        <f t="shared" si="16"/>
        <v>-0.61999500000000007</v>
      </c>
      <c r="M27" s="101">
        <f t="shared" si="18"/>
        <v>-0.40000500000000005</v>
      </c>
      <c r="N27" s="146">
        <v>-0.49213000000000001</v>
      </c>
      <c r="O27" s="148" t="str">
        <f t="shared" si="12"/>
        <v>X</v>
      </c>
      <c r="P27" s="109" t="str">
        <f t="shared" si="13"/>
        <v/>
      </c>
    </row>
    <row r="28" spans="1:17" ht="13" thickBot="1" x14ac:dyDescent="0.3"/>
    <row r="29" spans="1:17" ht="45.75" customHeight="1" x14ac:dyDescent="0.35">
      <c r="A29" s="275" t="s">
        <v>140</v>
      </c>
      <c r="B29" s="276"/>
      <c r="C29" s="276"/>
      <c r="D29" s="276"/>
      <c r="E29" s="276"/>
      <c r="F29" s="276"/>
      <c r="G29" s="277"/>
    </row>
    <row r="30" spans="1:17" ht="13.5" x14ac:dyDescent="0.35">
      <c r="A30" s="278" t="s">
        <v>12</v>
      </c>
      <c r="B30" s="278" t="s">
        <v>20</v>
      </c>
      <c r="C30" s="279" t="s">
        <v>29</v>
      </c>
      <c r="D30" s="279"/>
      <c r="E30" s="279" t="s">
        <v>30</v>
      </c>
      <c r="F30" s="279"/>
      <c r="G30" s="279"/>
    </row>
    <row r="31" spans="1:17" x14ac:dyDescent="0.25">
      <c r="A31" s="278"/>
      <c r="B31" s="278"/>
      <c r="C31" s="278" t="s">
        <v>31</v>
      </c>
      <c r="D31" s="278" t="s">
        <v>32</v>
      </c>
      <c r="E31" s="278" t="s">
        <v>41</v>
      </c>
      <c r="F31" s="278" t="s">
        <v>0</v>
      </c>
      <c r="G31" s="278" t="s">
        <v>1</v>
      </c>
    </row>
    <row r="32" spans="1:17" ht="13" thickBot="1" x14ac:dyDescent="0.3">
      <c r="A32" s="278"/>
      <c r="B32" s="278"/>
      <c r="C32" s="278"/>
      <c r="D32" s="278"/>
      <c r="E32" s="278"/>
      <c r="F32" s="278"/>
      <c r="G32" s="278"/>
    </row>
    <row r="33" spans="1:7" ht="13" thickBot="1" x14ac:dyDescent="0.3">
      <c r="A33" s="104">
        <v>9.9820100000000007</v>
      </c>
      <c r="B33" s="100">
        <v>2.0000000000000002E-5</v>
      </c>
      <c r="C33" s="101">
        <f>A33-(A33*B33)-0.1</f>
        <v>9.8818103598000011</v>
      </c>
      <c r="D33" s="101">
        <f>A33+(A33*B33)+0.1</f>
        <v>10.0822096402</v>
      </c>
      <c r="E33" s="101">
        <v>9.9880999999999993</v>
      </c>
      <c r="F33" s="102" t="str">
        <f t="shared" ref="F33:F41" si="19">IF(AND(E33&gt;C33,E33&lt;D33),"X","")</f>
        <v>X</v>
      </c>
      <c r="G33" s="103" t="str">
        <f t="shared" ref="G33:G41" si="20">IF(AND(E33&gt;C33,E33&lt;D33),"","X")</f>
        <v/>
      </c>
    </row>
    <row r="34" spans="1:7" ht="13" thickBot="1" x14ac:dyDescent="0.3">
      <c r="A34" s="104">
        <v>12.47804</v>
      </c>
      <c r="B34" s="100">
        <v>2.0000000000000002E-5</v>
      </c>
      <c r="C34" s="101">
        <f>A34-(A34*B34)-0.1</f>
        <v>12.3777904392</v>
      </c>
      <c r="D34" s="101">
        <f>A34+(A34*B34)+0.1</f>
        <v>12.5782895608</v>
      </c>
      <c r="E34" s="101">
        <v>12.49184</v>
      </c>
      <c r="F34" s="105" t="str">
        <f t="shared" si="19"/>
        <v>X</v>
      </c>
      <c r="G34" s="103" t="str">
        <f t="shared" si="20"/>
        <v/>
      </c>
    </row>
    <row r="35" spans="1:7" ht="13" thickBot="1" x14ac:dyDescent="0.3">
      <c r="A35" s="104">
        <v>14.97287</v>
      </c>
      <c r="B35" s="100">
        <v>2.0000000000000002E-5</v>
      </c>
      <c r="C35" s="101">
        <f>A35-(A35*B35)-0.1</f>
        <v>14.8725705426</v>
      </c>
      <c r="D35" s="101">
        <f>A35+(A35*B35)+0.1</f>
        <v>15.073169457400001</v>
      </c>
      <c r="E35" s="101">
        <v>14.99924</v>
      </c>
      <c r="F35" s="105" t="str">
        <f t="shared" si="19"/>
        <v>X</v>
      </c>
      <c r="G35" s="103" t="str">
        <f t="shared" si="20"/>
        <v/>
      </c>
    </row>
    <row r="36" spans="1:7" ht="13" thickBot="1" x14ac:dyDescent="0.3">
      <c r="A36" s="104">
        <v>17.468109999999999</v>
      </c>
      <c r="B36" s="100">
        <v>2.0000000000000002E-5</v>
      </c>
      <c r="C36" s="101">
        <f>A36-(A36*B36)-0.1</f>
        <v>17.367760637799996</v>
      </c>
      <c r="D36" s="101">
        <f>A36+(A36*B36)+0.1</f>
        <v>17.568459362200002</v>
      </c>
      <c r="E36" s="101">
        <v>17.507860000000001</v>
      </c>
      <c r="F36" s="105" t="str">
        <f t="shared" si="19"/>
        <v>X</v>
      </c>
      <c r="G36" s="103" t="str">
        <f t="shared" si="20"/>
        <v/>
      </c>
    </row>
    <row r="37" spans="1:7" ht="13" thickBot="1" x14ac:dyDescent="0.3">
      <c r="A37" s="107">
        <v>19.96339</v>
      </c>
      <c r="B37" s="100">
        <v>2.0000000000000002E-5</v>
      </c>
      <c r="C37" s="101">
        <f>A37-(A37*B37)-0.1</f>
        <v>19.8629907322</v>
      </c>
      <c r="D37" s="101">
        <f>A37+(A37*B37)+0.1</f>
        <v>20.063789267800001</v>
      </c>
      <c r="E37" s="101">
        <v>20.000610000000002</v>
      </c>
      <c r="F37" s="108" t="str">
        <f t="shared" si="19"/>
        <v>X</v>
      </c>
      <c r="G37" s="103" t="str">
        <f t="shared" si="20"/>
        <v/>
      </c>
    </row>
    <row r="38" spans="1:7" ht="13" thickBot="1" x14ac:dyDescent="0.3">
      <c r="A38" s="104">
        <v>22.45909</v>
      </c>
      <c r="B38" s="100">
        <v>2.0000000000000002E-5</v>
      </c>
      <c r="C38" s="101">
        <f t="shared" ref="C38:C41" si="21">A38-(A38*B38)-0.1</f>
        <v>22.358640818199998</v>
      </c>
      <c r="D38" s="101">
        <f t="shared" ref="D38:D41" si="22">A38+(A38*B38)+0.1</f>
        <v>22.559539181800002</v>
      </c>
      <c r="E38" s="145">
        <v>22.505569999999999</v>
      </c>
      <c r="F38" s="150" t="str">
        <f t="shared" si="19"/>
        <v>X</v>
      </c>
      <c r="G38" s="103" t="str">
        <f t="shared" si="20"/>
        <v/>
      </c>
    </row>
    <row r="39" spans="1:7" ht="13" thickBot="1" x14ac:dyDescent="0.3">
      <c r="A39" s="104">
        <v>24.955249999999999</v>
      </c>
      <c r="B39" s="100">
        <v>2.0000000000000002E-5</v>
      </c>
      <c r="C39" s="101">
        <f t="shared" si="21"/>
        <v>24.854750894999999</v>
      </c>
      <c r="D39" s="101">
        <f t="shared" si="22"/>
        <v>25.055749105</v>
      </c>
      <c r="E39" s="145">
        <v>25.0032</v>
      </c>
      <c r="F39" s="150" t="str">
        <f t="shared" si="19"/>
        <v>X</v>
      </c>
      <c r="G39" s="103" t="str">
        <f t="shared" si="20"/>
        <v/>
      </c>
    </row>
    <row r="40" spans="1:7" ht="13" thickBot="1" x14ac:dyDescent="0.3">
      <c r="A40" s="104">
        <v>27.45309</v>
      </c>
      <c r="B40" s="100">
        <v>2.0000000000000002E-5</v>
      </c>
      <c r="C40" s="101">
        <f t="shared" si="21"/>
        <v>27.352540938199997</v>
      </c>
      <c r="D40" s="101">
        <f t="shared" si="22"/>
        <v>27.553639061800002</v>
      </c>
      <c r="E40" s="145">
        <v>27.49596</v>
      </c>
      <c r="F40" s="150" t="str">
        <f t="shared" si="19"/>
        <v>X</v>
      </c>
      <c r="G40" s="103" t="str">
        <f t="shared" si="20"/>
        <v/>
      </c>
    </row>
    <row r="41" spans="1:7" x14ac:dyDescent="0.25">
      <c r="A41" s="104">
        <v>29.949940000000002</v>
      </c>
      <c r="B41" s="100">
        <v>2.0000000000000002E-5</v>
      </c>
      <c r="C41" s="101">
        <f t="shared" si="21"/>
        <v>29.849341001199999</v>
      </c>
      <c r="D41" s="101">
        <f t="shared" si="22"/>
        <v>30.050538998800004</v>
      </c>
      <c r="E41" s="145">
        <v>29.994810000000001</v>
      </c>
      <c r="F41" s="150" t="str">
        <f t="shared" si="19"/>
        <v>X</v>
      </c>
      <c r="G41" s="103" t="str">
        <f t="shared" si="20"/>
        <v/>
      </c>
    </row>
    <row r="43" spans="1:7" x14ac:dyDescent="0.25">
      <c r="B43" s="29" t="s">
        <v>28</v>
      </c>
    </row>
  </sheetData>
  <mergeCells count="41">
    <mergeCell ref="M3:M4"/>
    <mergeCell ref="N3:N4"/>
    <mergeCell ref="O3:O4"/>
    <mergeCell ref="P3:P4"/>
    <mergeCell ref="J16:P16"/>
    <mergeCell ref="A29:G29"/>
    <mergeCell ref="A30:A32"/>
    <mergeCell ref="B30:B32"/>
    <mergeCell ref="C30:D30"/>
    <mergeCell ref="E30:G30"/>
    <mergeCell ref="C31:C32"/>
    <mergeCell ref="D31:D32"/>
    <mergeCell ref="E31:E32"/>
    <mergeCell ref="F31:F32"/>
    <mergeCell ref="G31:G32"/>
    <mergeCell ref="A16:G16"/>
    <mergeCell ref="A17:A19"/>
    <mergeCell ref="B17:B19"/>
    <mergeCell ref="C17:D17"/>
    <mergeCell ref="E17:G17"/>
    <mergeCell ref="C18:C19"/>
    <mergeCell ref="D18:D19"/>
    <mergeCell ref="E18:E19"/>
    <mergeCell ref="F18:F19"/>
    <mergeCell ref="G18:G19"/>
    <mergeCell ref="A1:G1"/>
    <mergeCell ref="A2:A4"/>
    <mergeCell ref="B2:B4"/>
    <mergeCell ref="C2:D2"/>
    <mergeCell ref="J1:P1"/>
    <mergeCell ref="F3:F4"/>
    <mergeCell ref="C3:C4"/>
    <mergeCell ref="G3:G4"/>
    <mergeCell ref="E2:G2"/>
    <mergeCell ref="D3:D4"/>
    <mergeCell ref="E3:E4"/>
    <mergeCell ref="J2:J4"/>
    <mergeCell ref="K2:K4"/>
    <mergeCell ref="L2:M2"/>
    <mergeCell ref="N2:P2"/>
    <mergeCell ref="L3:L4"/>
  </mergeCells>
  <phoneticPr fontId="1" type="noConversion"/>
  <conditionalFormatting sqref="F5:F12 O5:O12 J13:O14">
    <cfRule type="cellIs" dxfId="62" priority="10" stopIfTrue="1" operator="equal">
      <formula>"X"</formula>
    </cfRule>
  </conditionalFormatting>
  <conditionalFormatting sqref="F20:F27">
    <cfRule type="cellIs" dxfId="61" priority="6" stopIfTrue="1" operator="equal">
      <formula>"X"</formula>
    </cfRule>
  </conditionalFormatting>
  <conditionalFormatting sqref="F33:F41">
    <cfRule type="cellIs" dxfId="60" priority="2" stopIfTrue="1" operator="equal">
      <formula>"X"</formula>
    </cfRule>
  </conditionalFormatting>
  <conditionalFormatting sqref="G5:G12 A13:G14 P5:P14">
    <cfRule type="cellIs" dxfId="59" priority="9" stopIfTrue="1" operator="equal">
      <formula>"X"</formula>
    </cfRule>
  </conditionalFormatting>
  <conditionalFormatting sqref="G20:G27">
    <cfRule type="cellIs" dxfId="58" priority="5" stopIfTrue="1" operator="equal">
      <formula>"X"</formula>
    </cfRule>
  </conditionalFormatting>
  <conditionalFormatting sqref="G33:G41">
    <cfRule type="cellIs" dxfId="57" priority="1" stopIfTrue="1" operator="equal">
      <formula>"X"</formula>
    </cfRule>
  </conditionalFormatting>
  <conditionalFormatting sqref="O20:O27">
    <cfRule type="cellIs" dxfId="56" priority="4" stopIfTrue="1" operator="equal">
      <formula>"X"</formula>
    </cfRule>
  </conditionalFormatting>
  <conditionalFormatting sqref="P20:P27">
    <cfRule type="cellIs" dxfId="55" priority="3" stopIfTrue="1" operator="equal">
      <formula>"X"</formula>
    </cfRule>
  </conditionalFormatting>
  <hyperlinks>
    <hyperlink ref="B43" location="'calibration procedure'!Druckbereich" display="Back to the calibration procedure" xr:uid="{00000000-0004-0000-0300-000000000000}"/>
  </hyperlinks>
  <pageMargins left="0.78740157480314965" right="0.78740157480314965" top="0.78740157480314965" bottom="0.98425196850393704" header="0.51181102362204722" footer="0.51181102362204722"/>
  <pageSetup paperSize="9" scale="71" orientation="landscape" r:id="rId1"/>
  <headerFooter alignWithMargins="0">
    <oddFooter>&amp;Lform 384en.00</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63A8-818B-4AE2-85A0-2AD32FF7FACC}">
  <sheetPr>
    <pageSetUpPr fitToPage="1"/>
  </sheetPr>
  <dimension ref="A1:R46"/>
  <sheetViews>
    <sheetView view="pageBreakPreview" zoomScale="85" zoomScaleNormal="100" zoomScaleSheetLayoutView="85" zoomScalePageLayoutView="80" workbookViewId="0">
      <selection activeCell="O25" sqref="O25:O26"/>
    </sheetView>
  </sheetViews>
  <sheetFormatPr defaultColWidth="9.1796875" defaultRowHeight="12.5" x14ac:dyDescent="0.25"/>
  <cols>
    <col min="1" max="2" width="11.453125" customWidth="1"/>
    <col min="3" max="3" width="12.453125" customWidth="1"/>
    <col min="4" max="5" width="11.453125" customWidth="1"/>
    <col min="6" max="7" width="4.7265625" customWidth="1"/>
    <col min="8" max="9" width="11.453125" customWidth="1"/>
    <col min="10" max="10" width="14.1796875" bestFit="1" customWidth="1"/>
    <col min="11" max="12" width="11.453125" customWidth="1"/>
    <col min="13" max="13" width="14.1796875" bestFit="1" customWidth="1"/>
    <col min="14" max="15" width="11.453125" customWidth="1"/>
    <col min="16" max="17" width="4.7265625" customWidth="1"/>
  </cols>
  <sheetData>
    <row r="1" spans="1:16" ht="34.5" customHeight="1" thickBot="1" x14ac:dyDescent="0.4">
      <c r="A1" s="260" t="s">
        <v>42</v>
      </c>
      <c r="B1" s="261"/>
      <c r="C1" s="261"/>
      <c r="D1" s="261"/>
      <c r="E1" s="261"/>
      <c r="F1" s="261"/>
      <c r="G1" s="262"/>
      <c r="H1" s="11"/>
      <c r="J1" s="260" t="s">
        <v>44</v>
      </c>
      <c r="K1" s="261"/>
      <c r="L1" s="261"/>
      <c r="M1" s="261"/>
      <c r="N1" s="261"/>
      <c r="O1" s="261"/>
      <c r="P1" s="262"/>
    </row>
    <row r="2" spans="1:16" ht="14" thickBot="1" x14ac:dyDescent="0.4">
      <c r="A2" s="263" t="s">
        <v>12</v>
      </c>
      <c r="B2" s="265" t="s">
        <v>20</v>
      </c>
      <c r="C2" s="267" t="s">
        <v>29</v>
      </c>
      <c r="D2" s="268"/>
      <c r="E2" s="272" t="s">
        <v>30</v>
      </c>
      <c r="F2" s="273"/>
      <c r="G2" s="274"/>
      <c r="H2" s="3"/>
      <c r="J2" s="263" t="s">
        <v>12</v>
      </c>
      <c r="K2" s="265" t="s">
        <v>20</v>
      </c>
      <c r="L2" s="267" t="s">
        <v>29</v>
      </c>
      <c r="M2" s="268"/>
      <c r="N2" s="272" t="s">
        <v>30</v>
      </c>
      <c r="O2" s="273"/>
      <c r="P2" s="274"/>
    </row>
    <row r="3" spans="1:16" x14ac:dyDescent="0.25">
      <c r="A3" s="251"/>
      <c r="B3" s="253"/>
      <c r="C3" s="270" t="s">
        <v>31</v>
      </c>
      <c r="D3" s="270" t="s">
        <v>32</v>
      </c>
      <c r="E3" s="252" t="s">
        <v>41</v>
      </c>
      <c r="F3" s="252" t="s">
        <v>0</v>
      </c>
      <c r="G3" s="254" t="s">
        <v>1</v>
      </c>
      <c r="H3" s="10"/>
      <c r="J3" s="251"/>
      <c r="K3" s="253"/>
      <c r="L3" s="270" t="s">
        <v>31</v>
      </c>
      <c r="M3" s="270" t="s">
        <v>32</v>
      </c>
      <c r="N3" s="252" t="s">
        <v>41</v>
      </c>
      <c r="O3" s="252" t="s">
        <v>0</v>
      </c>
      <c r="P3" s="254" t="s">
        <v>1</v>
      </c>
    </row>
    <row r="4" spans="1:16" ht="12.75" customHeight="1" thickBot="1" x14ac:dyDescent="0.3">
      <c r="A4" s="264"/>
      <c r="B4" s="266"/>
      <c r="C4" s="269"/>
      <c r="D4" s="269"/>
      <c r="E4" s="269"/>
      <c r="F4" s="269"/>
      <c r="G4" s="271"/>
      <c r="H4" s="9"/>
      <c r="J4" s="264"/>
      <c r="K4" s="266"/>
      <c r="L4" s="269"/>
      <c r="M4" s="269"/>
      <c r="N4" s="269"/>
      <c r="O4" s="269"/>
      <c r="P4" s="271"/>
    </row>
    <row r="5" spans="1:16" ht="12.75" customHeight="1" thickBot="1" x14ac:dyDescent="0.3">
      <c r="A5" s="104">
        <v>9.9820100000000007</v>
      </c>
      <c r="B5" s="128">
        <v>2.0000000000000002E-5</v>
      </c>
      <c r="C5" s="101">
        <f>A5-(A5*B5)-0.1</f>
        <v>9.8818103598000011</v>
      </c>
      <c r="D5" s="101">
        <f>A5+(A5*B5)+0.1</f>
        <v>10.0822096402</v>
      </c>
      <c r="E5" s="101">
        <v>10.002750000000001</v>
      </c>
      <c r="F5" s="102" t="str">
        <f t="shared" ref="F5:F10" si="0">IF(AND(E5&gt;C5,E5&lt;D5),"X","")</f>
        <v>X</v>
      </c>
      <c r="G5" s="103" t="str">
        <f t="shared" ref="G5:G13" si="1">IF(AND(E5&gt;C5,E5&lt;D5),"","X")</f>
        <v/>
      </c>
      <c r="H5" s="12"/>
      <c r="J5" s="99">
        <v>-2.375</v>
      </c>
      <c r="K5" s="100">
        <v>1.0000000000000001E-5</v>
      </c>
      <c r="L5" s="101">
        <f>J5-(J5*K5)-0.1</f>
        <v>-2.4749762500000001</v>
      </c>
      <c r="M5" s="101">
        <f>J5+(J5*K5)+0.1</f>
        <v>-2.2750237499999999</v>
      </c>
      <c r="N5" s="101">
        <v>-2.3736299999999999</v>
      </c>
      <c r="O5" s="102" t="str">
        <f t="shared" ref="O5:O10" si="2">IF(AND(N5&gt;L5,N5&lt;M5),"X","")</f>
        <v>X</v>
      </c>
      <c r="P5" s="103" t="str">
        <f t="shared" ref="P5:P10" si="3">IF(AND(N5&gt;L5,N5&lt;M5),"","X")</f>
        <v/>
      </c>
    </row>
    <row r="6" spans="1:16" ht="13.5" customHeight="1" thickBot="1" x14ac:dyDescent="0.3">
      <c r="A6" s="104">
        <v>12.47804</v>
      </c>
      <c r="B6" s="100">
        <v>2.0000000000000002E-5</v>
      </c>
      <c r="C6" s="101">
        <f t="shared" ref="C6:C13" si="4">A6-(A6*B6)-0.1</f>
        <v>12.3777904392</v>
      </c>
      <c r="D6" s="101">
        <f t="shared" ref="D6:D13" si="5">A6+(A6*B6)+0.1</f>
        <v>12.5782895608</v>
      </c>
      <c r="E6" s="101">
        <v>12.50282</v>
      </c>
      <c r="F6" s="105" t="str">
        <f t="shared" si="0"/>
        <v>X</v>
      </c>
      <c r="G6" s="103" t="str">
        <f t="shared" si="1"/>
        <v/>
      </c>
      <c r="H6" s="12"/>
      <c r="J6" s="104">
        <v>-2</v>
      </c>
      <c r="K6" s="100">
        <v>1.0000000000000001E-5</v>
      </c>
      <c r="L6" s="101">
        <f t="shared" ref="L6:L10" si="6">J6-(J6*K6)-0.1</f>
        <v>-2.09998</v>
      </c>
      <c r="M6" s="101">
        <f t="shared" ref="M6:M8" si="7">J6+(J6*K6)+0.1</f>
        <v>-1.90002</v>
      </c>
      <c r="N6" s="101">
        <v>-1.9976100000000001</v>
      </c>
      <c r="O6" s="105" t="str">
        <f t="shared" si="2"/>
        <v>X</v>
      </c>
      <c r="P6" s="106" t="str">
        <f t="shared" si="3"/>
        <v/>
      </c>
    </row>
    <row r="7" spans="1:16" ht="13" thickBot="1" x14ac:dyDescent="0.3">
      <c r="A7" s="104">
        <v>14.97287</v>
      </c>
      <c r="B7" s="100">
        <v>2.0000000000000002E-5</v>
      </c>
      <c r="C7" s="101">
        <f t="shared" si="4"/>
        <v>14.8725705426</v>
      </c>
      <c r="D7" s="101">
        <f t="shared" si="5"/>
        <v>15.073169457400001</v>
      </c>
      <c r="E7" s="101">
        <v>15.0029</v>
      </c>
      <c r="F7" s="105" t="str">
        <f t="shared" si="0"/>
        <v>X</v>
      </c>
      <c r="G7" s="103" t="str">
        <f t="shared" si="1"/>
        <v/>
      </c>
      <c r="H7" s="12"/>
      <c r="J7" s="104">
        <v>-1.75</v>
      </c>
      <c r="K7" s="100">
        <v>1.0000000000000001E-5</v>
      </c>
      <c r="L7" s="101">
        <f t="shared" si="6"/>
        <v>-1.8499825000000001</v>
      </c>
      <c r="M7" s="101">
        <f t="shared" si="7"/>
        <v>-1.6500174999999999</v>
      </c>
      <c r="N7" s="101">
        <v>-1.74742</v>
      </c>
      <c r="O7" s="105" t="str">
        <f t="shared" si="2"/>
        <v>X</v>
      </c>
      <c r="P7" s="106" t="str">
        <f t="shared" si="3"/>
        <v/>
      </c>
    </row>
    <row r="8" spans="1:16" ht="13" thickBot="1" x14ac:dyDescent="0.3">
      <c r="A8" s="104">
        <v>17.468109999999999</v>
      </c>
      <c r="B8" s="100">
        <v>2.0000000000000002E-5</v>
      </c>
      <c r="C8" s="101">
        <f t="shared" si="4"/>
        <v>17.367760637799996</v>
      </c>
      <c r="D8" s="101">
        <f t="shared" si="5"/>
        <v>17.568459362200002</v>
      </c>
      <c r="E8" s="101">
        <v>17.500530000000001</v>
      </c>
      <c r="F8" s="105" t="str">
        <f t="shared" si="0"/>
        <v>X</v>
      </c>
      <c r="G8" s="103" t="str">
        <f t="shared" si="1"/>
        <v/>
      </c>
      <c r="H8" s="12"/>
      <c r="J8" s="104">
        <v>-1.5</v>
      </c>
      <c r="K8" s="100">
        <v>1.0000000000000001E-5</v>
      </c>
      <c r="L8" s="101">
        <f t="shared" si="6"/>
        <v>-1.599985</v>
      </c>
      <c r="M8" s="101">
        <f t="shared" si="7"/>
        <v>-1.400015</v>
      </c>
      <c r="N8" s="101">
        <v>-1.4983</v>
      </c>
      <c r="O8" s="105" t="str">
        <f t="shared" si="2"/>
        <v>X</v>
      </c>
      <c r="P8" s="106" t="str">
        <f t="shared" si="3"/>
        <v/>
      </c>
    </row>
    <row r="9" spans="1:16" ht="13" thickBot="1" x14ac:dyDescent="0.3">
      <c r="A9" s="107">
        <v>19.96339</v>
      </c>
      <c r="B9" s="129">
        <v>2.0000000000000002E-5</v>
      </c>
      <c r="C9" s="130">
        <f t="shared" si="4"/>
        <v>19.8629907322</v>
      </c>
      <c r="D9" s="130">
        <f t="shared" si="5"/>
        <v>20.063789267800001</v>
      </c>
      <c r="E9" s="130">
        <v>19.995729999999998</v>
      </c>
      <c r="F9" s="108" t="str">
        <f t="shared" si="0"/>
        <v>X</v>
      </c>
      <c r="G9" s="103" t="str">
        <f t="shared" si="1"/>
        <v/>
      </c>
      <c r="H9" s="12"/>
      <c r="J9" s="107">
        <v>-1.25</v>
      </c>
      <c r="K9" s="100">
        <v>1.0000000000000001E-5</v>
      </c>
      <c r="L9" s="101">
        <f t="shared" si="6"/>
        <v>-1.3499875000000001</v>
      </c>
      <c r="M9" s="101">
        <f>J9+(J9*K9)+0.1</f>
        <v>-1.1500124999999999</v>
      </c>
      <c r="N9" s="101">
        <v>-1.2478199999999999</v>
      </c>
      <c r="O9" s="108" t="str">
        <f t="shared" si="2"/>
        <v>X</v>
      </c>
      <c r="P9" s="109" t="str">
        <f t="shared" si="3"/>
        <v/>
      </c>
    </row>
    <row r="10" spans="1:16" ht="13" thickBot="1" x14ac:dyDescent="0.3">
      <c r="A10" s="104">
        <v>22.45909</v>
      </c>
      <c r="B10" s="129">
        <v>2.0000000000000002E-5</v>
      </c>
      <c r="C10" s="130">
        <f t="shared" si="4"/>
        <v>22.358640818199998</v>
      </c>
      <c r="D10" s="130">
        <f t="shared" si="5"/>
        <v>22.559539181800002</v>
      </c>
      <c r="E10" s="147">
        <v>22.498249999999999</v>
      </c>
      <c r="F10" s="148" t="str">
        <f t="shared" si="0"/>
        <v>X</v>
      </c>
      <c r="G10" s="103" t="str">
        <f t="shared" si="1"/>
        <v/>
      </c>
      <c r="H10" s="12"/>
      <c r="J10" s="146">
        <v>-1</v>
      </c>
      <c r="K10" s="100">
        <v>1.0000000000000001E-5</v>
      </c>
      <c r="L10" s="101">
        <f t="shared" si="6"/>
        <v>-1.09999</v>
      </c>
      <c r="M10" s="101">
        <f>J10+(J10*K10)+0.1</f>
        <v>-0.90001000000000009</v>
      </c>
      <c r="N10" s="101">
        <v>-0.99768999999999997</v>
      </c>
      <c r="O10" s="108" t="str">
        <f t="shared" si="2"/>
        <v>X</v>
      </c>
      <c r="P10" s="109" t="str">
        <f t="shared" si="3"/>
        <v/>
      </c>
    </row>
    <row r="11" spans="1:16" ht="13" thickBot="1" x14ac:dyDescent="0.3">
      <c r="A11" s="104">
        <v>24.955249999999999</v>
      </c>
      <c r="B11" s="129">
        <v>2.0000000000000002E-5</v>
      </c>
      <c r="C11" s="130">
        <f t="shared" si="4"/>
        <v>24.854750894999999</v>
      </c>
      <c r="D11" s="130">
        <f t="shared" si="5"/>
        <v>25.055749105</v>
      </c>
      <c r="E11" s="147">
        <v>24.99832</v>
      </c>
      <c r="F11" s="148" t="str">
        <f>IF(AND(E11&gt;C11,E11&lt;D11),"X","")</f>
        <v>X</v>
      </c>
      <c r="G11" s="103" t="str">
        <f t="shared" si="1"/>
        <v/>
      </c>
      <c r="H11" s="12"/>
      <c r="P11" s="148"/>
    </row>
    <row r="12" spans="1:16" ht="13" thickBot="1" x14ac:dyDescent="0.3">
      <c r="A12" s="104">
        <v>27.45309</v>
      </c>
      <c r="B12" s="129">
        <v>2.0000000000000002E-5</v>
      </c>
      <c r="C12" s="130">
        <f t="shared" si="4"/>
        <v>27.352540938199997</v>
      </c>
      <c r="D12" s="130">
        <f t="shared" si="5"/>
        <v>27.553639061800002</v>
      </c>
      <c r="E12" s="147">
        <v>27.50328</v>
      </c>
      <c r="F12" s="148" t="str">
        <f t="shared" ref="F12:F13" si="8">IF(AND(E12&gt;C12,E12&lt;D12),"X","")</f>
        <v>X</v>
      </c>
      <c r="G12" s="103" t="str">
        <f t="shared" si="1"/>
        <v/>
      </c>
      <c r="H12" s="12"/>
      <c r="P12" s="148"/>
    </row>
    <row r="13" spans="1:16" ht="13" thickBot="1" x14ac:dyDescent="0.3">
      <c r="A13" s="104">
        <v>29.949940000000002</v>
      </c>
      <c r="B13" s="129">
        <v>2.0000000000000002E-5</v>
      </c>
      <c r="C13" s="130">
        <f t="shared" si="4"/>
        <v>29.849341001199999</v>
      </c>
      <c r="D13" s="130">
        <f t="shared" si="5"/>
        <v>30.050538998800004</v>
      </c>
      <c r="E13" s="147">
        <v>29.998470000000001</v>
      </c>
      <c r="F13" s="148" t="str">
        <f t="shared" si="8"/>
        <v>X</v>
      </c>
      <c r="G13" s="103" t="str">
        <f t="shared" si="1"/>
        <v/>
      </c>
      <c r="H13" s="12"/>
      <c r="P13" s="148"/>
    </row>
    <row r="14" spans="1:16" x14ac:dyDescent="0.25">
      <c r="A14" s="148"/>
      <c r="B14" s="148"/>
      <c r="C14" s="148"/>
      <c r="D14" s="148"/>
      <c r="E14" s="148"/>
      <c r="F14" s="148"/>
      <c r="G14" s="148"/>
      <c r="H14" s="12"/>
      <c r="P14" s="148"/>
    </row>
    <row r="15" spans="1:16" x14ac:dyDescent="0.25">
      <c r="A15" s="148"/>
      <c r="B15" s="148"/>
      <c r="C15" s="148"/>
      <c r="D15" s="148"/>
      <c r="E15" s="148"/>
      <c r="F15" s="148"/>
      <c r="G15" s="148"/>
      <c r="H15" s="12"/>
      <c r="P15" s="148"/>
    </row>
    <row r="16" spans="1:16" ht="13" thickBot="1" x14ac:dyDescent="0.3">
      <c r="H16" s="12"/>
    </row>
    <row r="17" spans="1:18" ht="41.25" customHeight="1" thickBot="1" x14ac:dyDescent="0.4">
      <c r="A17" s="260" t="s">
        <v>43</v>
      </c>
      <c r="B17" s="261"/>
      <c r="C17" s="261"/>
      <c r="D17" s="261"/>
      <c r="E17" s="261"/>
      <c r="F17" s="261"/>
      <c r="G17" s="262"/>
      <c r="H17" s="12"/>
      <c r="J17" s="260" t="s">
        <v>45</v>
      </c>
      <c r="K17" s="261"/>
      <c r="L17" s="261"/>
      <c r="M17" s="261"/>
      <c r="N17" s="261"/>
      <c r="O17" s="261"/>
      <c r="P17" s="262"/>
      <c r="R17" s="19"/>
    </row>
    <row r="18" spans="1:18" ht="16.5" customHeight="1" thickBot="1" x14ac:dyDescent="0.4">
      <c r="A18" s="263" t="s">
        <v>12</v>
      </c>
      <c r="B18" s="265" t="s">
        <v>20</v>
      </c>
      <c r="C18" s="267" t="s">
        <v>29</v>
      </c>
      <c r="D18" s="268"/>
      <c r="E18" s="272" t="s">
        <v>30</v>
      </c>
      <c r="F18" s="273"/>
      <c r="G18" s="274"/>
      <c r="J18" s="250" t="s">
        <v>12</v>
      </c>
      <c r="K18" s="252" t="s">
        <v>20</v>
      </c>
      <c r="L18" s="37" t="s">
        <v>29</v>
      </c>
      <c r="M18" s="38"/>
      <c r="N18" s="39" t="s">
        <v>30</v>
      </c>
      <c r="O18" s="40"/>
      <c r="P18" s="41"/>
    </row>
    <row r="19" spans="1:18" ht="21" x14ac:dyDescent="0.25">
      <c r="A19" s="251"/>
      <c r="B19" s="253"/>
      <c r="C19" s="270" t="s">
        <v>31</v>
      </c>
      <c r="D19" s="270" t="s">
        <v>32</v>
      </c>
      <c r="E19" s="252" t="s">
        <v>41</v>
      </c>
      <c r="F19" s="252" t="s">
        <v>0</v>
      </c>
      <c r="G19" s="254" t="s">
        <v>1</v>
      </c>
      <c r="J19" s="251"/>
      <c r="K19" s="253"/>
      <c r="L19" s="44" t="s">
        <v>31</v>
      </c>
      <c r="M19" s="44" t="s">
        <v>32</v>
      </c>
      <c r="N19" s="45" t="s">
        <v>41</v>
      </c>
      <c r="O19" s="45" t="s">
        <v>0</v>
      </c>
      <c r="P19" s="46" t="s">
        <v>1</v>
      </c>
    </row>
    <row r="20" spans="1:18" ht="12.75" customHeight="1" thickBot="1" x14ac:dyDescent="0.3">
      <c r="A20" s="264"/>
      <c r="B20" s="266"/>
      <c r="C20" s="269"/>
      <c r="D20" s="269"/>
      <c r="E20" s="269"/>
      <c r="F20" s="269"/>
      <c r="G20" s="271"/>
      <c r="J20" s="280"/>
      <c r="K20" s="269"/>
      <c r="L20" s="49"/>
      <c r="M20" s="49"/>
      <c r="N20" s="49"/>
      <c r="O20" s="49"/>
      <c r="P20" s="50"/>
    </row>
    <row r="21" spans="1:18" ht="13" thickBot="1" x14ac:dyDescent="0.3">
      <c r="A21" s="104">
        <v>0</v>
      </c>
      <c r="B21" s="100">
        <v>2.0000000000000002E-5</v>
      </c>
      <c r="C21" s="101">
        <f>A21-(A21*B21)-0.1</f>
        <v>-0.1</v>
      </c>
      <c r="D21" s="101">
        <f>A21+(A21*B21)+0.1</f>
        <v>0.1</v>
      </c>
      <c r="E21" s="101">
        <v>-1.221E-2</v>
      </c>
      <c r="F21" s="102" t="str">
        <f t="shared" ref="F21:F27" si="9">IF(AND(E21&gt;C21,E21&lt;D21),"X","")</f>
        <v>X</v>
      </c>
      <c r="G21" s="103" t="str">
        <f t="shared" ref="G21:G27" si="10">IF(AND(E21&gt;C21,E21&lt;D21),"","X")</f>
        <v/>
      </c>
      <c r="J21" s="99">
        <v>-2.375</v>
      </c>
      <c r="K21" s="100">
        <v>1.0000000000000001E-5</v>
      </c>
      <c r="L21" s="101">
        <f>J21-(J21*K21)-0.1</f>
        <v>-2.4749762500000001</v>
      </c>
      <c r="M21" s="101">
        <f>J21+(J21*K21)+0.1</f>
        <v>-2.2750237499999999</v>
      </c>
      <c r="N21" s="101">
        <v>-2.37235</v>
      </c>
      <c r="O21" s="102" t="str">
        <f t="shared" ref="O21:O26" si="11">IF(AND(N21&gt;L21,N21&lt;M21),"X","")</f>
        <v>X</v>
      </c>
      <c r="P21" s="103" t="str">
        <f t="shared" ref="P21:P26" si="12">IF(AND(N21&gt;L21,N21&lt;M21),"","X")</f>
        <v/>
      </c>
    </row>
    <row r="22" spans="1:18" ht="13" thickBot="1" x14ac:dyDescent="0.3">
      <c r="A22" s="104">
        <v>5</v>
      </c>
      <c r="B22" s="100">
        <v>2.0000000000000002E-5</v>
      </c>
      <c r="C22" s="101">
        <f t="shared" ref="C22:C27" si="13">A22-(A22*B22)-0.1</f>
        <v>4.8999000000000006</v>
      </c>
      <c r="D22" s="101">
        <f t="shared" ref="D22:D27" si="14">A22+(A22*B22)+0.1</f>
        <v>5.1000999999999994</v>
      </c>
      <c r="E22" s="101">
        <v>4.9916099999999997</v>
      </c>
      <c r="F22" s="105" t="str">
        <f t="shared" si="9"/>
        <v>X</v>
      </c>
      <c r="G22" s="106" t="str">
        <f t="shared" si="10"/>
        <v/>
      </c>
      <c r="J22" s="104">
        <v>-2</v>
      </c>
      <c r="K22" s="100">
        <v>1.0000000000000001E-5</v>
      </c>
      <c r="L22" s="101">
        <f t="shared" ref="L22:L26" si="15">J22-(J22*K22)-0.1</f>
        <v>-2.09998</v>
      </c>
      <c r="M22" s="101">
        <f>J22+(J22*K22)+0.1</f>
        <v>-1.90002</v>
      </c>
      <c r="N22" s="101">
        <v>-1.9967200000000001</v>
      </c>
      <c r="O22" s="105" t="str">
        <f t="shared" si="11"/>
        <v>X</v>
      </c>
      <c r="P22" s="106" t="str">
        <f t="shared" si="12"/>
        <v/>
      </c>
    </row>
    <row r="23" spans="1:18" ht="13" thickBot="1" x14ac:dyDescent="0.3">
      <c r="A23" s="104">
        <v>10.003</v>
      </c>
      <c r="B23" s="100">
        <v>2.0000000000000002E-5</v>
      </c>
      <c r="C23" s="101">
        <f t="shared" si="13"/>
        <v>9.9027999400000013</v>
      </c>
      <c r="D23" s="101">
        <f t="shared" si="14"/>
        <v>10.103200059999999</v>
      </c>
      <c r="E23" s="101">
        <v>10.02472</v>
      </c>
      <c r="F23" s="105" t="str">
        <f t="shared" si="9"/>
        <v>X</v>
      </c>
      <c r="G23" s="106" t="str">
        <f t="shared" si="10"/>
        <v/>
      </c>
      <c r="J23" s="104">
        <v>-1.75</v>
      </c>
      <c r="K23" s="100">
        <v>1.0000000000000001E-5</v>
      </c>
      <c r="L23" s="101">
        <f t="shared" si="15"/>
        <v>-1.8499825000000001</v>
      </c>
      <c r="M23" s="101">
        <f t="shared" ref="M23:M24" si="16">J23+(J23*K23)+0.1</f>
        <v>-1.6500174999999999</v>
      </c>
      <c r="N23" s="101">
        <v>-1.74665</v>
      </c>
      <c r="O23" s="105" t="str">
        <f t="shared" si="11"/>
        <v>X</v>
      </c>
      <c r="P23" s="106" t="str">
        <f t="shared" si="12"/>
        <v/>
      </c>
    </row>
    <row r="24" spans="1:18" ht="13" thickBot="1" x14ac:dyDescent="0.3">
      <c r="A24" s="104">
        <v>15</v>
      </c>
      <c r="B24" s="100">
        <v>2.0000000000000002E-5</v>
      </c>
      <c r="C24" s="101">
        <f t="shared" si="13"/>
        <v>14.899700000000001</v>
      </c>
      <c r="D24" s="101">
        <f t="shared" si="14"/>
        <v>15.100299999999999</v>
      </c>
      <c r="E24" s="101">
        <v>15.03952</v>
      </c>
      <c r="F24" s="105" t="str">
        <f t="shared" si="9"/>
        <v>X</v>
      </c>
      <c r="G24" s="106" t="str">
        <f t="shared" si="10"/>
        <v/>
      </c>
      <c r="J24" s="104">
        <v>-1.5</v>
      </c>
      <c r="K24" s="100">
        <v>1.0000000000000001E-5</v>
      </c>
      <c r="L24" s="101">
        <f t="shared" si="15"/>
        <v>-1.599985</v>
      </c>
      <c r="M24" s="101">
        <f t="shared" si="16"/>
        <v>-1.400015</v>
      </c>
      <c r="N24" s="101">
        <v>-1.49777</v>
      </c>
      <c r="O24" s="105" t="str">
        <f t="shared" si="11"/>
        <v>X</v>
      </c>
      <c r="P24" s="106" t="str">
        <f t="shared" si="12"/>
        <v/>
      </c>
    </row>
    <row r="25" spans="1:18" ht="13" thickBot="1" x14ac:dyDescent="0.3">
      <c r="A25" s="107">
        <v>20</v>
      </c>
      <c r="B25" s="100">
        <v>2.0000000000000002E-5</v>
      </c>
      <c r="C25" s="101">
        <f t="shared" si="13"/>
        <v>19.8996</v>
      </c>
      <c r="D25" s="101">
        <f t="shared" si="14"/>
        <v>20.1004</v>
      </c>
      <c r="E25" s="130">
        <v>20.042120000000001</v>
      </c>
      <c r="F25" s="108" t="str">
        <f t="shared" si="9"/>
        <v>X</v>
      </c>
      <c r="G25" s="109" t="str">
        <f t="shared" si="10"/>
        <v/>
      </c>
      <c r="J25" s="107">
        <v>-1.25</v>
      </c>
      <c r="K25" s="100">
        <v>1.0000000000000001E-5</v>
      </c>
      <c r="L25" s="101">
        <f t="shared" si="15"/>
        <v>-1.3499875000000001</v>
      </c>
      <c r="M25" s="101">
        <f>J25+(J25*K25)+0.1</f>
        <v>-1.1500124999999999</v>
      </c>
      <c r="N25" s="101">
        <v>-1.24739</v>
      </c>
      <c r="O25" s="108" t="str">
        <f t="shared" si="11"/>
        <v>X</v>
      </c>
      <c r="P25" s="109" t="str">
        <f t="shared" si="12"/>
        <v/>
      </c>
    </row>
    <row r="26" spans="1:18" ht="13" thickBot="1" x14ac:dyDescent="0.3">
      <c r="A26" s="104">
        <v>25</v>
      </c>
      <c r="B26" s="100">
        <v>2.0000000000000002E-5</v>
      </c>
      <c r="C26" s="101">
        <f t="shared" si="13"/>
        <v>24.8995</v>
      </c>
      <c r="D26" s="101">
        <f t="shared" si="14"/>
        <v>25.1005</v>
      </c>
      <c r="E26" s="147">
        <v>25.063020000000002</v>
      </c>
      <c r="F26" s="108" t="str">
        <f t="shared" si="9"/>
        <v>X</v>
      </c>
      <c r="G26" s="109" t="str">
        <f t="shared" si="10"/>
        <v/>
      </c>
      <c r="J26" s="146">
        <v>-1</v>
      </c>
      <c r="K26" s="100">
        <v>1.0000000000000001E-5</v>
      </c>
      <c r="L26" s="101">
        <f t="shared" si="15"/>
        <v>-1.09999</v>
      </c>
      <c r="M26" s="101">
        <f>J26+(J26*K26)+0.1</f>
        <v>-0.90001000000000009</v>
      </c>
      <c r="N26" s="101">
        <v>-0.99751000000000001</v>
      </c>
      <c r="O26" s="108" t="str">
        <f t="shared" si="11"/>
        <v>X</v>
      </c>
      <c r="P26" s="109" t="str">
        <f t="shared" si="12"/>
        <v/>
      </c>
    </row>
    <row r="27" spans="1:18" ht="13" thickBot="1" x14ac:dyDescent="0.3">
      <c r="A27" s="104">
        <v>30</v>
      </c>
      <c r="B27" s="100">
        <v>2.0000000000000002E-5</v>
      </c>
      <c r="C27" s="101">
        <f t="shared" si="13"/>
        <v>29.8994</v>
      </c>
      <c r="D27" s="101">
        <f t="shared" si="14"/>
        <v>30.1006</v>
      </c>
      <c r="E27" s="147">
        <v>30.082709999999999</v>
      </c>
      <c r="F27" s="108" t="str">
        <f t="shared" si="9"/>
        <v>X</v>
      </c>
      <c r="G27" s="109" t="str">
        <f t="shared" si="10"/>
        <v/>
      </c>
    </row>
    <row r="28" spans="1:18" ht="15.5" customHeight="1" x14ac:dyDescent="0.25">
      <c r="A28" s="151"/>
      <c r="B28" s="151"/>
      <c r="C28" s="151"/>
      <c r="D28" s="151"/>
      <c r="E28" s="151"/>
      <c r="F28" s="151"/>
      <c r="G28" s="151"/>
    </row>
    <row r="34" spans="1:7" ht="13" thickBot="1" x14ac:dyDescent="0.3"/>
    <row r="35" spans="1:7" ht="16" thickBot="1" x14ac:dyDescent="0.4">
      <c r="A35" s="308" t="s">
        <v>139</v>
      </c>
      <c r="B35" s="309"/>
      <c r="C35" s="309"/>
      <c r="D35" s="309"/>
      <c r="E35" s="309"/>
      <c r="F35" s="309"/>
      <c r="G35" s="310"/>
    </row>
    <row r="36" spans="1:7" ht="14" thickBot="1" x14ac:dyDescent="0.4">
      <c r="A36" s="263" t="s">
        <v>12</v>
      </c>
      <c r="B36" s="265" t="s">
        <v>20</v>
      </c>
      <c r="C36" s="267" t="s">
        <v>29</v>
      </c>
      <c r="D36" s="268"/>
      <c r="E36" s="272" t="s">
        <v>30</v>
      </c>
      <c r="F36" s="273"/>
      <c r="G36" s="274"/>
    </row>
    <row r="37" spans="1:7" x14ac:dyDescent="0.25">
      <c r="A37" s="251"/>
      <c r="B37" s="253"/>
      <c r="C37" s="270" t="s">
        <v>31</v>
      </c>
      <c r="D37" s="270" t="s">
        <v>32</v>
      </c>
      <c r="E37" s="252" t="s">
        <v>41</v>
      </c>
      <c r="F37" s="252" t="s">
        <v>0</v>
      </c>
      <c r="G37" s="254" t="s">
        <v>1</v>
      </c>
    </row>
    <row r="38" spans="1:7" ht="13" thickBot="1" x14ac:dyDescent="0.3">
      <c r="A38" s="264"/>
      <c r="B38" s="266"/>
      <c r="C38" s="269"/>
      <c r="D38" s="269"/>
      <c r="E38" s="269"/>
      <c r="F38" s="269"/>
      <c r="G38" s="271"/>
    </row>
    <row r="39" spans="1:7" ht="13" thickBot="1" x14ac:dyDescent="0.3">
      <c r="A39" s="104">
        <v>0</v>
      </c>
      <c r="B39" s="100">
        <v>2.0000000000000002E-5</v>
      </c>
      <c r="C39" s="101">
        <f>A39-(A39*B39)-0.1</f>
        <v>-0.1</v>
      </c>
      <c r="D39" s="101">
        <f>A39+(A39*B39)+0.1</f>
        <v>0.1</v>
      </c>
      <c r="E39" s="101">
        <v>-3.662E-2</v>
      </c>
      <c r="F39" s="105" t="str">
        <f t="shared" ref="F39:F43" si="17">IF(AND(E39&gt;C39,E39&lt;D39),"X","")</f>
        <v>X</v>
      </c>
      <c r="G39" s="103" t="str">
        <f t="shared" ref="G39:G43" si="18">IF(AND(E39&gt;C39,E39&lt;D39),"","X")</f>
        <v/>
      </c>
    </row>
    <row r="40" spans="1:7" ht="13" thickBot="1" x14ac:dyDescent="0.3">
      <c r="A40" s="104">
        <v>15</v>
      </c>
      <c r="B40" s="100">
        <v>2.0000000000000002E-5</v>
      </c>
      <c r="C40" s="101">
        <f t="shared" ref="C40:C43" si="19">A40-(A40*B40)-0.1</f>
        <v>14.899700000000001</v>
      </c>
      <c r="D40" s="101">
        <f t="shared" ref="D40" si="20">A40+(A40*B40)+0.1</f>
        <v>15.100299999999999</v>
      </c>
      <c r="E40" s="101">
        <v>15.049289999999999</v>
      </c>
      <c r="F40" s="105" t="str">
        <f t="shared" si="17"/>
        <v>X</v>
      </c>
      <c r="G40" s="106" t="str">
        <f t="shared" si="18"/>
        <v/>
      </c>
    </row>
    <row r="41" spans="1:7" ht="13" thickBot="1" x14ac:dyDescent="0.3">
      <c r="A41" s="107">
        <v>20</v>
      </c>
      <c r="B41" s="100">
        <v>2.0000000000000002E-5</v>
      </c>
      <c r="C41" s="101">
        <f t="shared" si="19"/>
        <v>19.8996</v>
      </c>
      <c r="D41" s="101">
        <f>A41+(A41*B41)+0.1</f>
        <v>20.1004</v>
      </c>
      <c r="E41" s="101">
        <v>20.06653</v>
      </c>
      <c r="F41" s="105" t="str">
        <f t="shared" si="17"/>
        <v>X</v>
      </c>
      <c r="G41" s="109" t="str">
        <f t="shared" si="18"/>
        <v/>
      </c>
    </row>
    <row r="42" spans="1:7" ht="13" thickBot="1" x14ac:dyDescent="0.3">
      <c r="A42" s="104">
        <v>25</v>
      </c>
      <c r="B42" s="100">
        <v>2.0000000000000002E-5</v>
      </c>
      <c r="C42" s="101">
        <f t="shared" si="19"/>
        <v>24.8995</v>
      </c>
      <c r="D42" s="101">
        <f t="shared" ref="D42:D43" si="21">A42+(A42*B42)+0.1</f>
        <v>25.1005</v>
      </c>
      <c r="E42" s="101">
        <v>25.082550000000001</v>
      </c>
      <c r="F42" s="105" t="str">
        <f t="shared" si="17"/>
        <v>X</v>
      </c>
      <c r="G42" s="109" t="str">
        <f t="shared" si="18"/>
        <v/>
      </c>
    </row>
    <row r="43" spans="1:7" ht="13" thickBot="1" x14ac:dyDescent="0.3">
      <c r="A43" s="104">
        <v>30</v>
      </c>
      <c r="B43" s="100">
        <v>2.0000000000000002E-5</v>
      </c>
      <c r="C43" s="101">
        <f t="shared" si="19"/>
        <v>29.8994</v>
      </c>
      <c r="D43" s="101">
        <f t="shared" si="21"/>
        <v>30.1006</v>
      </c>
      <c r="E43" s="145">
        <v>30.099799999999998</v>
      </c>
      <c r="F43" s="150" t="str">
        <f t="shared" si="17"/>
        <v>X</v>
      </c>
      <c r="G43" s="151" t="str">
        <f t="shared" si="18"/>
        <v/>
      </c>
    </row>
    <row r="44" spans="1:7" ht="13" thickBot="1" x14ac:dyDescent="0.3">
      <c r="A44" s="104">
        <v>35</v>
      </c>
      <c r="B44" s="100">
        <v>2.0000000000000002E-5</v>
      </c>
      <c r="C44" s="101">
        <f>A44-(A44*B44)-0.1</f>
        <v>34.899299999999997</v>
      </c>
      <c r="D44" s="101">
        <f>A44+(A44*B44)+0.1</f>
        <v>35.100700000000003</v>
      </c>
      <c r="E44" s="101">
        <v>35.099800000000002</v>
      </c>
      <c r="F44" s="105" t="str">
        <f>IF(AND(E44&gt;C44,E44&lt;D44),"X","")</f>
        <v>X</v>
      </c>
      <c r="G44" s="109" t="str">
        <f>IF(AND(E44&gt;C44,E44&lt;D44),"","X")</f>
        <v/>
      </c>
    </row>
    <row r="46" spans="1:7" x14ac:dyDescent="0.25">
      <c r="B46" s="29" t="s">
        <v>28</v>
      </c>
    </row>
  </sheetData>
  <mergeCells count="43">
    <mergeCell ref="J18:J20"/>
    <mergeCell ref="K18:K20"/>
    <mergeCell ref="A35:G35"/>
    <mergeCell ref="A36:A38"/>
    <mergeCell ref="B36:B38"/>
    <mergeCell ref="C36:D36"/>
    <mergeCell ref="E36:G36"/>
    <mergeCell ref="C37:C38"/>
    <mergeCell ref="D37:D38"/>
    <mergeCell ref="E37:E38"/>
    <mergeCell ref="F37:F38"/>
    <mergeCell ref="G37:G38"/>
    <mergeCell ref="A18:A20"/>
    <mergeCell ref="B18:B20"/>
    <mergeCell ref="C18:D18"/>
    <mergeCell ref="E18:G18"/>
    <mergeCell ref="C19:C20"/>
    <mergeCell ref="D19:D20"/>
    <mergeCell ref="E19:E20"/>
    <mergeCell ref="F19:F20"/>
    <mergeCell ref="G19:G20"/>
    <mergeCell ref="A17:G17"/>
    <mergeCell ref="J17:P17"/>
    <mergeCell ref="C3:C4"/>
    <mergeCell ref="D3:D4"/>
    <mergeCell ref="E3:E4"/>
    <mergeCell ref="F3:F4"/>
    <mergeCell ref="G3:G4"/>
    <mergeCell ref="L3:L4"/>
    <mergeCell ref="A1:G1"/>
    <mergeCell ref="J1:P1"/>
    <mergeCell ref="A2:A4"/>
    <mergeCell ref="B2:B4"/>
    <mergeCell ref="C2:D2"/>
    <mergeCell ref="E2:G2"/>
    <mergeCell ref="J2:J4"/>
    <mergeCell ref="K2:K4"/>
    <mergeCell ref="L2:M2"/>
    <mergeCell ref="N2:P2"/>
    <mergeCell ref="M3:M4"/>
    <mergeCell ref="N3:N4"/>
    <mergeCell ref="O3:O4"/>
    <mergeCell ref="P3:P4"/>
  </mergeCells>
  <conditionalFormatting sqref="F5:F13 F39:F44">
    <cfRule type="cellIs" dxfId="54" priority="10" stopIfTrue="1" operator="equal">
      <formula>"X"</formula>
    </cfRule>
  </conditionalFormatting>
  <conditionalFormatting sqref="F21:F27">
    <cfRule type="cellIs" dxfId="53" priority="6" stopIfTrue="1" operator="equal">
      <formula>"X"</formula>
    </cfRule>
  </conditionalFormatting>
  <conditionalFormatting sqref="A14:F15 G5:G15 G39:G44">
    <cfRule type="cellIs" dxfId="52" priority="9" stopIfTrue="1" operator="equal">
      <formula>"X"</formula>
    </cfRule>
  </conditionalFormatting>
  <conditionalFormatting sqref="G21:G28 A28:F28">
    <cfRule type="cellIs" dxfId="51" priority="5" stopIfTrue="1" operator="equal">
      <formula>"X"</formula>
    </cfRule>
  </conditionalFormatting>
  <conditionalFormatting sqref="O5:O10">
    <cfRule type="cellIs" dxfId="50" priority="8" stopIfTrue="1" operator="equal">
      <formula>"X"</formula>
    </cfRule>
  </conditionalFormatting>
  <conditionalFormatting sqref="O21:O26">
    <cfRule type="cellIs" dxfId="49" priority="4" stopIfTrue="1" operator="equal">
      <formula>"X"</formula>
    </cfRule>
  </conditionalFormatting>
  <conditionalFormatting sqref="P5:P15">
    <cfRule type="cellIs" dxfId="48" priority="7" stopIfTrue="1" operator="equal">
      <formula>"X"</formula>
    </cfRule>
  </conditionalFormatting>
  <conditionalFormatting sqref="P21:P26">
    <cfRule type="cellIs" dxfId="47" priority="3" stopIfTrue="1" operator="equal">
      <formula>"X"</formula>
    </cfRule>
  </conditionalFormatting>
  <hyperlinks>
    <hyperlink ref="B46" location="'calibration procedure'!Druckbereich" display="Back to the calibration procedure" xr:uid="{A96C947E-BCE6-4937-A700-ECF7F4A4E716}"/>
  </hyperlinks>
  <pageMargins left="0.78740157480314965" right="0.78740157480314965" top="1.1811023622047245" bottom="0.98425196850393704" header="0.51181102362204722" footer="0.51181102362204722"/>
  <pageSetup paperSize="9" scale="67" orientation="landscape" r:id="rId1"/>
  <headerFooter alignWithMargins="0">
    <oddFooter>&amp;L&amp;"-,Normal"&amp;8form 384en.00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16">
    <pageSetUpPr fitToPage="1"/>
  </sheetPr>
  <dimension ref="A1:Z40"/>
  <sheetViews>
    <sheetView view="pageBreakPreview" topLeftCell="A3" zoomScaleNormal="100" zoomScaleSheetLayoutView="100" workbookViewId="0">
      <selection activeCell="O39" sqref="O39"/>
    </sheetView>
  </sheetViews>
  <sheetFormatPr defaultColWidth="9.1796875" defaultRowHeight="12.5" x14ac:dyDescent="0.25"/>
  <cols>
    <col min="1" max="2" width="11.453125" style="22" customWidth="1"/>
    <col min="3" max="3" width="11.7265625" style="22" customWidth="1"/>
    <col min="4" max="4" width="11.453125" style="22" customWidth="1"/>
    <col min="5" max="6" width="4.7265625" style="22" customWidth="1"/>
    <col min="7" max="7" width="11.81640625" style="22" customWidth="1"/>
    <col min="8" max="8" width="11.453125" style="22" customWidth="1"/>
    <col min="9" max="10" width="4.7265625" style="22" customWidth="1"/>
    <col min="11" max="11" width="11.81640625" style="22" customWidth="1"/>
    <col min="12" max="12" width="11.453125" style="22" customWidth="1"/>
    <col min="13" max="14" width="4.7265625" style="22" customWidth="1"/>
    <col min="15" max="15" width="11.81640625" style="22" customWidth="1"/>
    <col min="16" max="16" width="11.453125" style="22" customWidth="1"/>
    <col min="17" max="18" width="4.7265625" style="22" customWidth="1"/>
    <col min="19" max="19" width="11.81640625" style="22" customWidth="1"/>
    <col min="20" max="20" width="11.453125" style="22" customWidth="1"/>
    <col min="21" max="22" width="4.7265625" style="22" customWidth="1"/>
    <col min="23" max="23" width="11.81640625" style="22" customWidth="1"/>
    <col min="24" max="24" width="11.453125" style="22" customWidth="1"/>
    <col min="25" max="26" width="4.7265625" style="22" customWidth="1"/>
    <col min="27" max="16384" width="9.1796875" style="22"/>
  </cols>
  <sheetData>
    <row r="1" spans="1:26" ht="16.5" customHeight="1" thickBot="1" x14ac:dyDescent="0.4">
      <c r="A1" s="285" t="s">
        <v>46</v>
      </c>
      <c r="B1" s="286"/>
      <c r="C1" s="286"/>
      <c r="D1" s="286"/>
      <c r="E1" s="286"/>
      <c r="F1" s="286"/>
      <c r="G1" s="286"/>
      <c r="H1" s="286"/>
      <c r="I1" s="286"/>
      <c r="J1" s="286"/>
      <c r="K1" s="286"/>
      <c r="L1" s="286"/>
      <c r="M1" s="286"/>
      <c r="N1" s="286"/>
      <c r="O1" s="286"/>
      <c r="P1" s="286"/>
      <c r="Q1" s="286"/>
      <c r="R1" s="286"/>
      <c r="S1" s="286"/>
      <c r="T1" s="286"/>
      <c r="U1" s="286"/>
      <c r="V1" s="286"/>
      <c r="W1" s="286"/>
      <c r="X1" s="286"/>
      <c r="Y1" s="286"/>
      <c r="Z1" s="287"/>
    </row>
    <row r="2" spans="1:26" ht="13.5" customHeight="1" thickBot="1" x14ac:dyDescent="0.3">
      <c r="A2" s="293" t="s">
        <v>39</v>
      </c>
      <c r="B2" s="296" t="s">
        <v>20</v>
      </c>
      <c r="C2" s="288" t="s">
        <v>33</v>
      </c>
      <c r="D2" s="289"/>
      <c r="E2" s="289"/>
      <c r="F2" s="290"/>
      <c r="G2" s="288" t="s">
        <v>34</v>
      </c>
      <c r="H2" s="289"/>
      <c r="I2" s="289"/>
      <c r="J2" s="290"/>
      <c r="K2" s="288" t="s">
        <v>35</v>
      </c>
      <c r="L2" s="289"/>
      <c r="M2" s="289"/>
      <c r="N2" s="290"/>
      <c r="O2" s="288" t="s">
        <v>36</v>
      </c>
      <c r="P2" s="289"/>
      <c r="Q2" s="289"/>
      <c r="R2" s="290"/>
      <c r="S2" s="51"/>
      <c r="T2" s="51"/>
      <c r="U2" s="51"/>
      <c r="V2" s="51"/>
      <c r="W2" s="51"/>
      <c r="X2" s="51"/>
      <c r="Y2" s="51"/>
      <c r="Z2" s="51"/>
    </row>
    <row r="3" spans="1:26" s="27" customFormat="1" ht="13.5" customHeight="1" x14ac:dyDescent="0.25">
      <c r="A3" s="294"/>
      <c r="B3" s="297"/>
      <c r="C3" s="291" t="s">
        <v>41</v>
      </c>
      <c r="D3" s="281" t="s">
        <v>40</v>
      </c>
      <c r="E3" s="281" t="s">
        <v>0</v>
      </c>
      <c r="F3" s="283" t="s">
        <v>1</v>
      </c>
      <c r="G3" s="291" t="s">
        <v>41</v>
      </c>
      <c r="H3" s="281" t="s">
        <v>40</v>
      </c>
      <c r="I3" s="281" t="s">
        <v>0</v>
      </c>
      <c r="J3" s="283" t="s">
        <v>1</v>
      </c>
      <c r="K3" s="291" t="s">
        <v>41</v>
      </c>
      <c r="L3" s="281" t="s">
        <v>40</v>
      </c>
      <c r="M3" s="281" t="s">
        <v>0</v>
      </c>
      <c r="N3" s="283" t="s">
        <v>1</v>
      </c>
      <c r="O3" s="291" t="s">
        <v>41</v>
      </c>
      <c r="P3" s="281" t="s">
        <v>40</v>
      </c>
      <c r="Q3" s="281" t="s">
        <v>0</v>
      </c>
      <c r="R3" s="283" t="s">
        <v>1</v>
      </c>
      <c r="S3" s="52"/>
      <c r="T3" s="52"/>
      <c r="U3" s="52"/>
      <c r="V3" s="52"/>
      <c r="W3" s="52"/>
      <c r="X3" s="52"/>
      <c r="Y3" s="52"/>
      <c r="Z3" s="52"/>
    </row>
    <row r="4" spans="1:26" s="27" customFormat="1" ht="12.75" customHeight="1" x14ac:dyDescent="0.25">
      <c r="A4" s="295"/>
      <c r="B4" s="298"/>
      <c r="C4" s="292"/>
      <c r="D4" s="282"/>
      <c r="E4" s="282"/>
      <c r="F4" s="284"/>
      <c r="G4" s="292"/>
      <c r="H4" s="282"/>
      <c r="I4" s="282"/>
      <c r="J4" s="284"/>
      <c r="K4" s="292"/>
      <c r="L4" s="282"/>
      <c r="M4" s="282"/>
      <c r="N4" s="284"/>
      <c r="O4" s="292"/>
      <c r="P4" s="282"/>
      <c r="Q4" s="282"/>
      <c r="R4" s="284"/>
      <c r="S4" s="52"/>
      <c r="T4" s="52"/>
      <c r="U4" s="52"/>
      <c r="V4" s="52"/>
      <c r="W4" s="52"/>
      <c r="X4" s="52"/>
      <c r="Y4" s="52"/>
      <c r="Z4" s="52"/>
    </row>
    <row r="5" spans="1:26" s="27" customFormat="1" ht="12.75" customHeight="1" thickBot="1" x14ac:dyDescent="0.3">
      <c r="A5" s="53" t="s">
        <v>4</v>
      </c>
      <c r="B5" s="54" t="s">
        <v>5</v>
      </c>
      <c r="C5" s="55" t="s">
        <v>4</v>
      </c>
      <c r="D5" s="56" t="s">
        <v>4</v>
      </c>
      <c r="E5" s="56"/>
      <c r="F5" s="57"/>
      <c r="G5" s="55"/>
      <c r="H5" s="56"/>
      <c r="I5" s="56"/>
      <c r="J5" s="57"/>
      <c r="K5" s="55"/>
      <c r="L5" s="56"/>
      <c r="M5" s="56"/>
      <c r="N5" s="57"/>
      <c r="O5" s="55"/>
      <c r="P5" s="56"/>
      <c r="Q5" s="56"/>
      <c r="R5" s="57"/>
      <c r="S5" s="52"/>
      <c r="T5" s="52"/>
      <c r="U5" s="52"/>
      <c r="V5" s="52"/>
      <c r="W5" s="52"/>
      <c r="X5" s="52"/>
      <c r="Y5" s="52"/>
      <c r="Z5" s="52"/>
    </row>
    <row r="6" spans="1:26" ht="13" thickBot="1" x14ac:dyDescent="0.3">
      <c r="A6" s="110">
        <v>0</v>
      </c>
      <c r="B6" s="111">
        <v>1.2E-2</v>
      </c>
      <c r="C6" s="112">
        <v>0</v>
      </c>
      <c r="D6" s="110">
        <v>0</v>
      </c>
      <c r="E6" s="118" t="str">
        <f t="shared" ref="E6:E13" si="0">IF(C6&lt;&gt;"",IF(AND(C6&gt;=(D6-(D6*$B6)),C6&lt;=(D6+(D6*$B6))),"X",""),"")</f>
        <v>X</v>
      </c>
      <c r="F6" s="115"/>
      <c r="G6" s="112">
        <v>0</v>
      </c>
      <c r="H6" s="110">
        <v>0</v>
      </c>
      <c r="I6" s="118" t="str">
        <f t="shared" ref="I6:I13" si="1">IF(G6&lt;&gt;"",IF(AND(G6&gt;=(H6-(H6*$B6)),G6&lt;=(H6+(H6*$B6))),"X",""),"")</f>
        <v>X</v>
      </c>
      <c r="J6" s="115" t="str">
        <f t="shared" ref="J6:J13" si="2">IF(NOT(I6="X"),"X","")</f>
        <v/>
      </c>
      <c r="K6" s="112">
        <v>0</v>
      </c>
      <c r="L6" s="110">
        <v>0</v>
      </c>
      <c r="M6" s="114" t="str">
        <f t="shared" ref="M6:M13" si="3">IF(K6&lt;&gt;"",IF(AND(K6&gt;=(L6-(L6*$B6)),K6&lt;=(L6+(L6*$B6))),"X",""),"")</f>
        <v>X</v>
      </c>
      <c r="N6" s="115" t="str">
        <f t="shared" ref="N6:N13" si="4">IF(NOT(M6="X"),"X","")</f>
        <v/>
      </c>
      <c r="O6" s="112">
        <v>0</v>
      </c>
      <c r="P6" s="110">
        <v>0</v>
      </c>
      <c r="Q6" s="114" t="str">
        <f t="shared" ref="Q6:Q13" si="5">IF(O6&lt;&gt;"",IF(AND(O6&gt;=(P6-(P6*$B6)),O6&lt;=(P6+(P6*$B6))),"X",""),"")</f>
        <v>X</v>
      </c>
      <c r="R6" s="115" t="str">
        <f t="shared" ref="R6:R13" si="6">IF(NOT(Q6="X"),"X","")</f>
        <v/>
      </c>
      <c r="S6" s="51"/>
      <c r="T6" s="51"/>
      <c r="U6" s="51"/>
      <c r="V6" s="51"/>
      <c r="W6" s="51"/>
      <c r="X6" s="51"/>
      <c r="Y6" s="51"/>
      <c r="Z6" s="51"/>
    </row>
    <row r="7" spans="1:26" ht="13" thickBot="1" x14ac:dyDescent="0.3">
      <c r="A7" s="110">
        <v>5</v>
      </c>
      <c r="B7" s="111">
        <v>1.2E-2</v>
      </c>
      <c r="C7" s="112">
        <v>4.9916099999999997</v>
      </c>
      <c r="D7" s="110">
        <v>5</v>
      </c>
      <c r="E7" s="118" t="str">
        <f t="shared" si="0"/>
        <v>X</v>
      </c>
      <c r="F7" s="119"/>
      <c r="G7" s="116">
        <v>4.9940499999999997</v>
      </c>
      <c r="H7" s="110">
        <v>5</v>
      </c>
      <c r="I7" s="118" t="str">
        <f t="shared" si="1"/>
        <v>X</v>
      </c>
      <c r="J7" s="119" t="str">
        <f t="shared" si="2"/>
        <v/>
      </c>
      <c r="K7" s="116">
        <v>5.0013699999999996</v>
      </c>
      <c r="L7" s="110">
        <v>5</v>
      </c>
      <c r="M7" s="114" t="str">
        <f t="shared" si="3"/>
        <v>X</v>
      </c>
      <c r="N7" s="119" t="str">
        <f t="shared" si="4"/>
        <v/>
      </c>
      <c r="O7" s="112">
        <v>4.9940499999999997</v>
      </c>
      <c r="P7" s="110">
        <v>5</v>
      </c>
      <c r="Q7" s="114" t="str">
        <f t="shared" si="5"/>
        <v>X</v>
      </c>
      <c r="R7" s="119" t="str">
        <f t="shared" si="6"/>
        <v/>
      </c>
      <c r="S7" s="51"/>
      <c r="T7" s="51"/>
      <c r="U7" s="51"/>
      <c r="V7" s="51"/>
      <c r="W7" s="51"/>
      <c r="X7" s="51"/>
      <c r="Y7" s="51"/>
      <c r="Z7" s="51"/>
    </row>
    <row r="8" spans="1:26" ht="13" thickBot="1" x14ac:dyDescent="0.3">
      <c r="A8" s="110">
        <v>10</v>
      </c>
      <c r="B8" s="111">
        <v>1.2E-2</v>
      </c>
      <c r="C8" s="112">
        <v>9.9966399999999993</v>
      </c>
      <c r="D8" s="110">
        <v>10</v>
      </c>
      <c r="E8" s="118" t="str">
        <f t="shared" si="0"/>
        <v>X</v>
      </c>
      <c r="F8" s="119" t="str">
        <f t="shared" ref="F8" si="7">IF(NOT(E8="X"),"X","")</f>
        <v/>
      </c>
      <c r="G8" s="116">
        <v>9.9966399999999993</v>
      </c>
      <c r="H8" s="110">
        <v>10</v>
      </c>
      <c r="I8" s="118" t="str">
        <f t="shared" si="1"/>
        <v>X</v>
      </c>
      <c r="J8" s="119" t="str">
        <f t="shared" si="2"/>
        <v/>
      </c>
      <c r="K8" s="116">
        <v>9.9990799999999993</v>
      </c>
      <c r="L8" s="110">
        <v>10</v>
      </c>
      <c r="M8" s="114" t="str">
        <f t="shared" si="3"/>
        <v>X</v>
      </c>
      <c r="N8" s="119" t="str">
        <f t="shared" si="4"/>
        <v/>
      </c>
      <c r="O8" s="112">
        <v>9.9954199999999993</v>
      </c>
      <c r="P8" s="110">
        <v>10</v>
      </c>
      <c r="Q8" s="114" t="str">
        <f t="shared" si="5"/>
        <v>X</v>
      </c>
      <c r="R8" s="119" t="str">
        <f t="shared" si="6"/>
        <v/>
      </c>
      <c r="S8" s="51"/>
      <c r="T8" s="51"/>
      <c r="U8" s="51"/>
      <c r="V8" s="51"/>
      <c r="W8" s="51"/>
      <c r="X8" s="51"/>
      <c r="Y8" s="51"/>
      <c r="Z8" s="51"/>
    </row>
    <row r="9" spans="1:26" ht="13" thickBot="1" x14ac:dyDescent="0.3">
      <c r="A9" s="110">
        <v>15</v>
      </c>
      <c r="B9" s="111">
        <v>1.2E-2</v>
      </c>
      <c r="C9" s="112">
        <v>15.00412</v>
      </c>
      <c r="D9" s="110">
        <v>15</v>
      </c>
      <c r="E9" s="118" t="str">
        <f t="shared" si="0"/>
        <v>X</v>
      </c>
      <c r="F9" s="119"/>
      <c r="G9" s="116">
        <v>14.99802</v>
      </c>
      <c r="H9" s="110">
        <v>15</v>
      </c>
      <c r="I9" s="118" t="str">
        <f t="shared" si="1"/>
        <v>X</v>
      </c>
      <c r="J9" s="119" t="str">
        <f t="shared" si="2"/>
        <v/>
      </c>
      <c r="K9" s="116">
        <v>14.984590000000001</v>
      </c>
      <c r="L9" s="110">
        <v>15</v>
      </c>
      <c r="M9" s="114" t="str">
        <f t="shared" si="3"/>
        <v>X</v>
      </c>
      <c r="N9" s="119" t="str">
        <f t="shared" si="4"/>
        <v/>
      </c>
      <c r="O9" s="112">
        <v>14.985810000000001</v>
      </c>
      <c r="P9" s="110">
        <v>15</v>
      </c>
      <c r="Q9" s="114" t="str">
        <f t="shared" si="5"/>
        <v>X</v>
      </c>
      <c r="R9" s="119" t="str">
        <f t="shared" si="6"/>
        <v/>
      </c>
      <c r="S9" s="51"/>
      <c r="T9" s="51"/>
      <c r="U9" s="51"/>
      <c r="V9" s="51"/>
      <c r="W9" s="51"/>
      <c r="X9" s="51"/>
      <c r="Y9" s="51"/>
      <c r="Z9" s="51"/>
    </row>
    <row r="10" spans="1:26" ht="13" thickBot="1" x14ac:dyDescent="0.3">
      <c r="A10" s="110">
        <v>20</v>
      </c>
      <c r="B10" s="111">
        <v>1.2E-2</v>
      </c>
      <c r="C10" s="112">
        <v>20.001830000000002</v>
      </c>
      <c r="D10" s="110">
        <v>20</v>
      </c>
      <c r="E10" s="118" t="str">
        <f t="shared" si="0"/>
        <v>X</v>
      </c>
      <c r="F10" s="119"/>
      <c r="G10" s="116">
        <v>19.995729999999998</v>
      </c>
      <c r="H10" s="110">
        <v>20</v>
      </c>
      <c r="I10" s="118" t="str">
        <f t="shared" si="1"/>
        <v>X</v>
      </c>
      <c r="J10" s="119" t="str">
        <f t="shared" si="2"/>
        <v/>
      </c>
      <c r="K10" s="116">
        <v>19.996949999999998</v>
      </c>
      <c r="L10" s="110">
        <v>20</v>
      </c>
      <c r="M10" s="114" t="str">
        <f t="shared" si="3"/>
        <v>X</v>
      </c>
      <c r="N10" s="119" t="str">
        <f t="shared" si="4"/>
        <v/>
      </c>
      <c r="O10" s="112">
        <v>19.999389999999998</v>
      </c>
      <c r="P10" s="110">
        <v>20</v>
      </c>
      <c r="Q10" s="114" t="str">
        <f t="shared" si="5"/>
        <v>X</v>
      </c>
      <c r="R10" s="119" t="str">
        <f t="shared" si="6"/>
        <v/>
      </c>
      <c r="S10" s="51"/>
      <c r="T10" s="51"/>
      <c r="U10" s="51"/>
      <c r="V10" s="51"/>
      <c r="W10" s="51"/>
      <c r="X10" s="51"/>
      <c r="Y10" s="51"/>
      <c r="Z10" s="51"/>
    </row>
    <row r="11" spans="1:26" ht="13" thickBot="1" x14ac:dyDescent="0.3">
      <c r="A11" s="110">
        <v>25</v>
      </c>
      <c r="B11" s="111">
        <v>1.2E-2</v>
      </c>
      <c r="C11" s="112">
        <v>25.009309999999999</v>
      </c>
      <c r="D11" s="110">
        <v>25</v>
      </c>
      <c r="E11" s="118" t="str">
        <f t="shared" si="0"/>
        <v>X</v>
      </c>
      <c r="F11" s="119"/>
      <c r="G11" s="116">
        <v>24.9971</v>
      </c>
      <c r="H11" s="110">
        <v>25</v>
      </c>
      <c r="I11" s="118" t="str">
        <f t="shared" si="1"/>
        <v>X</v>
      </c>
      <c r="J11" s="119" t="str">
        <f t="shared" si="2"/>
        <v/>
      </c>
      <c r="K11" s="116">
        <v>25.004429999999999</v>
      </c>
      <c r="L11" s="110">
        <v>25</v>
      </c>
      <c r="M11" s="114" t="str">
        <f t="shared" si="3"/>
        <v>X</v>
      </c>
      <c r="N11" s="119" t="str">
        <f t="shared" si="4"/>
        <v/>
      </c>
      <c r="O11" s="112">
        <v>24.99832</v>
      </c>
      <c r="P11" s="110">
        <v>25</v>
      </c>
      <c r="Q11" s="114" t="str">
        <f t="shared" si="5"/>
        <v>X</v>
      </c>
      <c r="R11" s="119" t="str">
        <f t="shared" si="6"/>
        <v/>
      </c>
      <c r="S11" s="51"/>
      <c r="T11" s="51"/>
      <c r="U11" s="51"/>
      <c r="V11" s="51"/>
      <c r="W11" s="51"/>
      <c r="X11" s="51"/>
      <c r="Y11" s="51"/>
      <c r="Z11" s="51"/>
    </row>
    <row r="12" spans="1:26" ht="13" thickBot="1" x14ac:dyDescent="0.3">
      <c r="A12" s="110">
        <v>30</v>
      </c>
      <c r="B12" s="111">
        <v>1.2E-2</v>
      </c>
      <c r="C12" s="112">
        <v>29.998470000000001</v>
      </c>
      <c r="D12" s="110">
        <v>30</v>
      </c>
      <c r="E12" s="118" t="str">
        <f t="shared" si="0"/>
        <v>X</v>
      </c>
      <c r="F12" s="119"/>
      <c r="G12" s="116">
        <v>29.975280000000001</v>
      </c>
      <c r="H12" s="110">
        <v>30</v>
      </c>
      <c r="I12" s="118" t="str">
        <f t="shared" si="1"/>
        <v>X</v>
      </c>
      <c r="J12" s="119" t="str">
        <f t="shared" si="2"/>
        <v/>
      </c>
      <c r="K12" s="116">
        <v>30.018000000000001</v>
      </c>
      <c r="L12" s="110">
        <v>30</v>
      </c>
      <c r="M12" s="114" t="str">
        <f t="shared" si="3"/>
        <v>X</v>
      </c>
      <c r="N12" s="119" t="str">
        <f t="shared" si="4"/>
        <v/>
      </c>
      <c r="O12" s="112">
        <v>29.992370000000001</v>
      </c>
      <c r="P12" s="110">
        <v>30</v>
      </c>
      <c r="Q12" s="114" t="str">
        <f t="shared" si="5"/>
        <v>X</v>
      </c>
      <c r="R12" s="119" t="str">
        <f t="shared" si="6"/>
        <v/>
      </c>
      <c r="S12" s="51"/>
      <c r="T12" s="51"/>
      <c r="U12" s="51"/>
      <c r="V12" s="51"/>
      <c r="W12" s="51"/>
      <c r="X12" s="51"/>
      <c r="Y12" s="51"/>
      <c r="Z12" s="51"/>
    </row>
    <row r="13" spans="1:26" ht="13" thickBot="1" x14ac:dyDescent="0.3">
      <c r="A13" s="110">
        <v>35</v>
      </c>
      <c r="B13" s="111">
        <v>1.2E-2</v>
      </c>
      <c r="C13" s="112">
        <v>35.004730000000002</v>
      </c>
      <c r="D13" s="110">
        <v>35</v>
      </c>
      <c r="E13" s="118" t="str">
        <f t="shared" si="0"/>
        <v>X</v>
      </c>
      <c r="F13" s="119"/>
      <c r="G13" s="116">
        <v>35.010829999999999</v>
      </c>
      <c r="H13" s="110">
        <v>35</v>
      </c>
      <c r="I13" s="118" t="str">
        <f t="shared" si="1"/>
        <v>X</v>
      </c>
      <c r="J13" s="119" t="str">
        <f t="shared" si="2"/>
        <v/>
      </c>
      <c r="K13" s="116">
        <v>34.992519999999999</v>
      </c>
      <c r="L13" s="110">
        <v>35</v>
      </c>
      <c r="M13" s="114" t="str">
        <f t="shared" si="3"/>
        <v>X</v>
      </c>
      <c r="N13" s="119" t="str">
        <f t="shared" si="4"/>
        <v/>
      </c>
      <c r="O13" s="112">
        <v>35.010829999999999</v>
      </c>
      <c r="P13" s="110">
        <v>35</v>
      </c>
      <c r="Q13" s="114" t="str">
        <f t="shared" si="5"/>
        <v>X</v>
      </c>
      <c r="R13" s="119" t="str">
        <f t="shared" si="6"/>
        <v/>
      </c>
      <c r="S13" s="51"/>
      <c r="T13" s="51"/>
      <c r="U13" s="51"/>
      <c r="V13" s="51"/>
      <c r="W13" s="51"/>
      <c r="X13" s="51"/>
      <c r="Y13" s="51"/>
      <c r="Z13" s="51"/>
    </row>
    <row r="14" spans="1:26" ht="16.5" customHeight="1" thickBot="1" x14ac:dyDescent="0.4">
      <c r="A14" s="285" t="s">
        <v>47</v>
      </c>
      <c r="B14" s="286"/>
      <c r="C14" s="286"/>
      <c r="D14" s="286"/>
      <c r="E14" s="286"/>
      <c r="F14" s="286"/>
      <c r="G14" s="286"/>
      <c r="H14" s="286"/>
      <c r="I14" s="286"/>
      <c r="J14" s="286"/>
      <c r="K14" s="286"/>
      <c r="L14" s="286"/>
      <c r="M14" s="286"/>
      <c r="N14" s="286"/>
      <c r="O14" s="286"/>
      <c r="P14" s="286"/>
      <c r="Q14" s="286"/>
      <c r="R14" s="286"/>
      <c r="S14" s="286"/>
      <c r="T14" s="286"/>
      <c r="U14" s="286"/>
      <c r="V14" s="286"/>
      <c r="W14" s="286"/>
      <c r="X14" s="286"/>
      <c r="Y14" s="286"/>
      <c r="Z14" s="287"/>
    </row>
    <row r="15" spans="1:26" ht="13" thickBot="1" x14ac:dyDescent="0.3">
      <c r="A15" s="293" t="s">
        <v>39</v>
      </c>
      <c r="B15" s="302" t="s">
        <v>20</v>
      </c>
      <c r="C15" s="299" t="s">
        <v>33</v>
      </c>
      <c r="D15" s="300"/>
      <c r="E15" s="300"/>
      <c r="F15" s="301"/>
      <c r="G15" s="299" t="s">
        <v>34</v>
      </c>
      <c r="H15" s="300"/>
      <c r="I15" s="300"/>
      <c r="J15" s="301"/>
      <c r="K15" s="299" t="s">
        <v>35</v>
      </c>
      <c r="L15" s="300"/>
      <c r="M15" s="300"/>
      <c r="N15" s="301"/>
      <c r="O15" s="299" t="s">
        <v>36</v>
      </c>
      <c r="P15" s="300"/>
      <c r="Q15" s="300"/>
      <c r="R15" s="301"/>
      <c r="S15" s="51"/>
      <c r="T15" s="51"/>
      <c r="U15" s="51"/>
      <c r="V15" s="51"/>
      <c r="W15" s="51"/>
      <c r="X15" s="51"/>
      <c r="Y15" s="51"/>
      <c r="Z15" s="51"/>
    </row>
    <row r="16" spans="1:26" x14ac:dyDescent="0.25">
      <c r="A16" s="294"/>
      <c r="B16" s="297"/>
      <c r="C16" s="291" t="s">
        <v>41</v>
      </c>
      <c r="D16" s="281" t="s">
        <v>40</v>
      </c>
      <c r="E16" s="281" t="s">
        <v>0</v>
      </c>
      <c r="F16" s="283" t="s">
        <v>1</v>
      </c>
      <c r="G16" s="291" t="s">
        <v>41</v>
      </c>
      <c r="H16" s="281" t="s">
        <v>40</v>
      </c>
      <c r="I16" s="281" t="s">
        <v>0</v>
      </c>
      <c r="J16" s="283" t="s">
        <v>1</v>
      </c>
      <c r="K16" s="291" t="s">
        <v>41</v>
      </c>
      <c r="L16" s="281" t="s">
        <v>40</v>
      </c>
      <c r="M16" s="281" t="s">
        <v>0</v>
      </c>
      <c r="N16" s="283" t="s">
        <v>1</v>
      </c>
      <c r="O16" s="291" t="s">
        <v>41</v>
      </c>
      <c r="P16" s="281" t="s">
        <v>40</v>
      </c>
      <c r="Q16" s="281" t="s">
        <v>0</v>
      </c>
      <c r="R16" s="283" t="s">
        <v>1</v>
      </c>
      <c r="S16" s="51"/>
      <c r="T16" s="51"/>
      <c r="U16" s="51"/>
      <c r="V16" s="51"/>
      <c r="W16" s="51"/>
      <c r="X16" s="51"/>
      <c r="Y16" s="51"/>
      <c r="Z16" s="51"/>
    </row>
    <row r="17" spans="1:26" ht="13" thickBot="1" x14ac:dyDescent="0.3">
      <c r="A17" s="295"/>
      <c r="B17" s="298"/>
      <c r="C17" s="292"/>
      <c r="D17" s="282"/>
      <c r="E17" s="282"/>
      <c r="F17" s="284"/>
      <c r="G17" s="292"/>
      <c r="H17" s="282"/>
      <c r="I17" s="282"/>
      <c r="J17" s="284"/>
      <c r="K17" s="292"/>
      <c r="L17" s="282"/>
      <c r="M17" s="282"/>
      <c r="N17" s="284"/>
      <c r="O17" s="292"/>
      <c r="P17" s="282"/>
      <c r="Q17" s="282"/>
      <c r="R17" s="284"/>
      <c r="S17" s="51"/>
      <c r="T17" s="51"/>
      <c r="U17" s="51"/>
      <c r="V17" s="51"/>
      <c r="W17" s="51"/>
      <c r="X17" s="51"/>
      <c r="Y17" s="51"/>
      <c r="Z17" s="51"/>
    </row>
    <row r="18" spans="1:26" ht="16.5" customHeight="1" thickBot="1" x14ac:dyDescent="0.3">
      <c r="A18" s="110">
        <v>0</v>
      </c>
      <c r="B18" s="111">
        <v>1.2E-2</v>
      </c>
      <c r="C18" s="112">
        <v>0</v>
      </c>
      <c r="D18" s="110">
        <v>0</v>
      </c>
      <c r="E18" s="114" t="str">
        <f t="shared" ref="E18:E25" si="8">IF(C18&lt;&gt;"",IF(AND(C18&gt;=(D18-(D18*$B18)),C18&lt;=(D18+(D18*$B18))),"X",""),"")</f>
        <v>X</v>
      </c>
      <c r="F18" s="115" t="str">
        <f t="shared" ref="F18:F25" si="9">IF(NOT(E18="X"),"X","")</f>
        <v/>
      </c>
      <c r="G18" s="112">
        <v>0</v>
      </c>
      <c r="H18" s="110">
        <v>0</v>
      </c>
      <c r="I18" s="114" t="str">
        <f t="shared" ref="I18:I25" si="10">IF(G18&lt;&gt;"",IF(AND(G18&gt;=(H18-(H18*$B18)),G18&lt;=(H18+(H18*$B18))),"X",""),"")</f>
        <v>X</v>
      </c>
      <c r="J18" s="115" t="str">
        <f t="shared" ref="J18:J25" si="11">IF(NOT(I18="X"),"X","")</f>
        <v/>
      </c>
      <c r="K18" s="112">
        <v>0</v>
      </c>
      <c r="L18" s="110">
        <v>0</v>
      </c>
      <c r="M18" s="114" t="str">
        <f t="shared" ref="M18:M25" si="12">IF(K18&lt;&gt;"",IF(AND(K18&gt;=(L18-(L18*$B18)),K18&lt;=(L18+(L18*$B18))),"X",""),"")</f>
        <v>X</v>
      </c>
      <c r="N18" s="115" t="str">
        <f t="shared" ref="N18:N25" si="13">IF(NOT(M18="X"),"X","")</f>
        <v/>
      </c>
      <c r="O18" s="112">
        <v>0</v>
      </c>
      <c r="P18" s="110">
        <v>0</v>
      </c>
      <c r="Q18" s="114" t="str">
        <f t="shared" ref="Q18:Q25" si="14">IF(O18&lt;&gt;"",IF(AND(O18&gt;=(P18-(P18*$B18)),O18&lt;=(P18+(P18*$B18))),"X",""),"")</f>
        <v>X</v>
      </c>
      <c r="R18" s="115" t="str">
        <f t="shared" ref="R18:R25" si="15">IF(NOT(Q18="X"),"X","")</f>
        <v/>
      </c>
      <c r="S18" s="51"/>
      <c r="T18" s="51"/>
      <c r="U18" s="51"/>
      <c r="V18" s="51"/>
      <c r="W18" s="51"/>
      <c r="X18" s="51"/>
      <c r="Y18" s="51"/>
      <c r="Z18" s="51"/>
    </row>
    <row r="19" spans="1:26" ht="13.5" customHeight="1" thickBot="1" x14ac:dyDescent="0.3">
      <c r="A19" s="110">
        <v>5</v>
      </c>
      <c r="B19" s="111">
        <v>1.2E-2</v>
      </c>
      <c r="C19" s="116">
        <v>4.9903899999999997</v>
      </c>
      <c r="D19" s="110">
        <v>5</v>
      </c>
      <c r="E19" s="114" t="str">
        <f t="shared" si="8"/>
        <v>X</v>
      </c>
      <c r="F19" s="119" t="str">
        <f t="shared" si="9"/>
        <v/>
      </c>
      <c r="G19" s="116">
        <v>4.9891699999999997</v>
      </c>
      <c r="H19" s="110">
        <v>5</v>
      </c>
      <c r="I19" s="114" t="str">
        <f t="shared" si="10"/>
        <v>X</v>
      </c>
      <c r="J19" s="119" t="str">
        <f t="shared" si="11"/>
        <v/>
      </c>
      <c r="K19" s="116">
        <v>5.0025899999999996</v>
      </c>
      <c r="L19" s="110">
        <v>5</v>
      </c>
      <c r="M19" s="114" t="str">
        <f t="shared" si="12"/>
        <v>X</v>
      </c>
      <c r="N19" s="119" t="str">
        <f t="shared" si="13"/>
        <v/>
      </c>
      <c r="O19" s="112">
        <v>5.0001499999999997</v>
      </c>
      <c r="P19" s="110">
        <v>5</v>
      </c>
      <c r="Q19" s="114" t="str">
        <f t="shared" si="14"/>
        <v>X</v>
      </c>
      <c r="R19" s="119" t="str">
        <f t="shared" si="15"/>
        <v/>
      </c>
      <c r="S19" s="51"/>
      <c r="T19" s="51"/>
      <c r="U19" s="51"/>
      <c r="V19" s="51"/>
      <c r="W19" s="51"/>
      <c r="X19" s="51"/>
      <c r="Y19" s="51"/>
      <c r="Z19" s="51"/>
    </row>
    <row r="20" spans="1:26" ht="12.75" customHeight="1" thickBot="1" x14ac:dyDescent="0.3">
      <c r="A20" s="110">
        <v>10</v>
      </c>
      <c r="B20" s="111">
        <v>1.2E-2</v>
      </c>
      <c r="C20" s="116">
        <v>10.006410000000001</v>
      </c>
      <c r="D20" s="110">
        <v>10</v>
      </c>
      <c r="E20" s="114" t="str">
        <f t="shared" si="8"/>
        <v>X</v>
      </c>
      <c r="F20" s="119" t="str">
        <f t="shared" si="9"/>
        <v/>
      </c>
      <c r="G20" s="116">
        <v>9.9929799999999993</v>
      </c>
      <c r="H20" s="110">
        <v>10</v>
      </c>
      <c r="I20" s="114" t="str">
        <f t="shared" si="10"/>
        <v>X</v>
      </c>
      <c r="J20" s="119" t="str">
        <f t="shared" si="11"/>
        <v/>
      </c>
      <c r="K20" s="116">
        <v>9.9978599999999993</v>
      </c>
      <c r="L20" s="110">
        <v>10</v>
      </c>
      <c r="M20" s="114" t="str">
        <f t="shared" si="12"/>
        <v>X</v>
      </c>
      <c r="N20" s="119" t="str">
        <f t="shared" si="13"/>
        <v/>
      </c>
      <c r="O20" s="112">
        <v>10.002750000000001</v>
      </c>
      <c r="P20" s="110">
        <v>10</v>
      </c>
      <c r="Q20" s="114" t="str">
        <f t="shared" si="14"/>
        <v>X</v>
      </c>
      <c r="R20" s="119" t="str">
        <f t="shared" si="15"/>
        <v/>
      </c>
      <c r="S20" s="51"/>
      <c r="T20" s="51"/>
      <c r="U20" s="51"/>
      <c r="V20" s="51"/>
      <c r="W20" s="51"/>
      <c r="X20" s="51"/>
      <c r="Y20" s="51"/>
      <c r="Z20" s="51"/>
    </row>
    <row r="21" spans="1:26" ht="13" thickBot="1" x14ac:dyDescent="0.3">
      <c r="A21" s="110">
        <v>15</v>
      </c>
      <c r="B21" s="111">
        <v>1.2E-2</v>
      </c>
      <c r="C21" s="116">
        <v>14.95407</v>
      </c>
      <c r="D21" s="110">
        <v>15</v>
      </c>
      <c r="E21" s="114" t="str">
        <f t="shared" si="8"/>
        <v>X</v>
      </c>
      <c r="F21" s="119" t="str">
        <f t="shared" si="9"/>
        <v/>
      </c>
      <c r="G21" s="116">
        <v>14.994350000000001</v>
      </c>
      <c r="H21" s="110">
        <v>15</v>
      </c>
      <c r="I21" s="114" t="str">
        <f t="shared" si="10"/>
        <v>X</v>
      </c>
      <c r="J21" s="119" t="str">
        <f t="shared" si="11"/>
        <v/>
      </c>
      <c r="K21" s="116">
        <v>14.990690000000001</v>
      </c>
      <c r="L21" s="110">
        <v>15</v>
      </c>
      <c r="M21" s="114" t="str">
        <f t="shared" si="12"/>
        <v>X</v>
      </c>
      <c r="N21" s="119" t="str">
        <f t="shared" si="13"/>
        <v/>
      </c>
      <c r="O21" s="112">
        <v>14.993130000000001</v>
      </c>
      <c r="P21" s="110">
        <v>15</v>
      </c>
      <c r="Q21" s="114" t="str">
        <f t="shared" si="14"/>
        <v>X</v>
      </c>
      <c r="R21" s="119" t="str">
        <f t="shared" si="15"/>
        <v/>
      </c>
      <c r="S21" s="51"/>
      <c r="T21" s="51"/>
      <c r="U21" s="51"/>
      <c r="V21" s="51"/>
      <c r="W21" s="51"/>
      <c r="X21" s="51"/>
      <c r="Y21" s="51"/>
      <c r="Z21" s="51"/>
    </row>
    <row r="22" spans="1:26" ht="13" thickBot="1" x14ac:dyDescent="0.3">
      <c r="A22" s="110">
        <v>20</v>
      </c>
      <c r="B22" s="111">
        <v>1.2E-2</v>
      </c>
      <c r="C22" s="153">
        <v>20.007930000000002</v>
      </c>
      <c r="D22" s="110">
        <v>20</v>
      </c>
      <c r="E22" s="114" t="str">
        <f t="shared" si="8"/>
        <v>X</v>
      </c>
      <c r="F22" s="119" t="str">
        <f t="shared" si="9"/>
        <v/>
      </c>
      <c r="G22" s="153">
        <v>19.999389999999998</v>
      </c>
      <c r="H22" s="110">
        <v>20</v>
      </c>
      <c r="I22" s="114" t="str">
        <f t="shared" si="10"/>
        <v>X</v>
      </c>
      <c r="J22" s="119" t="str">
        <f t="shared" si="11"/>
        <v/>
      </c>
      <c r="K22" s="116">
        <v>19.995729999999998</v>
      </c>
      <c r="L22" s="110">
        <v>20</v>
      </c>
      <c r="M22" s="114" t="str">
        <f t="shared" si="12"/>
        <v>X</v>
      </c>
      <c r="N22" s="119" t="str">
        <f t="shared" si="13"/>
        <v/>
      </c>
      <c r="O22" s="112">
        <v>19.996949999999998</v>
      </c>
      <c r="P22" s="110">
        <v>20</v>
      </c>
      <c r="Q22" s="114" t="str">
        <f t="shared" si="14"/>
        <v>X</v>
      </c>
      <c r="R22" s="119" t="str">
        <f t="shared" si="15"/>
        <v/>
      </c>
      <c r="S22" s="51"/>
      <c r="T22" s="51"/>
      <c r="U22" s="51"/>
      <c r="V22" s="51"/>
      <c r="W22" s="51"/>
      <c r="X22" s="51"/>
      <c r="Y22" s="51"/>
      <c r="Z22" s="51"/>
    </row>
    <row r="23" spans="1:26" ht="13" thickBot="1" x14ac:dyDescent="0.3">
      <c r="A23" s="110">
        <v>25</v>
      </c>
      <c r="B23" s="111">
        <v>1.2E-2</v>
      </c>
      <c r="C23" s="153">
        <v>24.99954</v>
      </c>
      <c r="D23" s="110">
        <v>25</v>
      </c>
      <c r="E23" s="114" t="str">
        <f t="shared" si="8"/>
        <v>X</v>
      </c>
      <c r="F23" s="119" t="str">
        <f t="shared" si="9"/>
        <v/>
      </c>
      <c r="G23" s="153">
        <v>25.0032</v>
      </c>
      <c r="H23" s="110">
        <v>25</v>
      </c>
      <c r="I23" s="114" t="str">
        <f t="shared" si="10"/>
        <v>X</v>
      </c>
      <c r="J23" s="119" t="str">
        <f t="shared" si="11"/>
        <v/>
      </c>
      <c r="K23" s="116">
        <v>25.009309999999999</v>
      </c>
      <c r="L23" s="110">
        <v>25</v>
      </c>
      <c r="M23" s="114" t="str">
        <f t="shared" si="12"/>
        <v>X</v>
      </c>
      <c r="N23" s="119" t="str">
        <f t="shared" si="13"/>
        <v/>
      </c>
      <c r="O23" s="112">
        <v>25.005649999999999</v>
      </c>
      <c r="P23" s="110">
        <v>25</v>
      </c>
      <c r="Q23" s="114" t="str">
        <f t="shared" si="14"/>
        <v>X</v>
      </c>
      <c r="R23" s="119" t="str">
        <f t="shared" si="15"/>
        <v/>
      </c>
      <c r="S23" s="51"/>
      <c r="T23" s="51"/>
      <c r="U23" s="51"/>
      <c r="V23" s="51"/>
      <c r="W23" s="51"/>
      <c r="X23" s="51"/>
      <c r="Y23" s="51"/>
      <c r="Z23" s="51"/>
    </row>
    <row r="24" spans="1:26" ht="13" thickBot="1" x14ac:dyDescent="0.3">
      <c r="A24" s="110">
        <v>30</v>
      </c>
      <c r="B24" s="111">
        <v>1.2E-2</v>
      </c>
      <c r="C24" s="153">
        <v>30.004580000000001</v>
      </c>
      <c r="D24" s="110">
        <v>30</v>
      </c>
      <c r="E24" s="114" t="str">
        <f t="shared" si="8"/>
        <v>X</v>
      </c>
      <c r="F24" s="119" t="str">
        <f t="shared" si="9"/>
        <v/>
      </c>
      <c r="G24" s="153">
        <v>30.005800000000001</v>
      </c>
      <c r="H24" s="110">
        <v>30</v>
      </c>
      <c r="I24" s="114" t="str">
        <f t="shared" si="10"/>
        <v>X</v>
      </c>
      <c r="J24" s="119" t="str">
        <f t="shared" si="11"/>
        <v/>
      </c>
      <c r="K24" s="116">
        <v>30.005800000000001</v>
      </c>
      <c r="L24" s="110">
        <v>30</v>
      </c>
      <c r="M24" s="114" t="str">
        <f t="shared" si="12"/>
        <v>X</v>
      </c>
      <c r="N24" s="119" t="str">
        <f t="shared" si="13"/>
        <v/>
      </c>
      <c r="O24" s="112">
        <v>30.119</v>
      </c>
      <c r="P24" s="110">
        <v>30</v>
      </c>
      <c r="Q24" s="114" t="str">
        <f t="shared" si="14"/>
        <v>X</v>
      </c>
      <c r="R24" s="119" t="str">
        <f t="shared" si="15"/>
        <v/>
      </c>
      <c r="S24" s="51"/>
      <c r="T24" s="51"/>
      <c r="U24" s="51"/>
      <c r="V24" s="51"/>
      <c r="W24" s="51"/>
      <c r="X24" s="51"/>
      <c r="Y24" s="51"/>
      <c r="Z24" s="51"/>
    </row>
    <row r="25" spans="1:26" x14ac:dyDescent="0.25">
      <c r="A25" s="110">
        <v>35</v>
      </c>
      <c r="B25" s="111">
        <v>1.2E-2</v>
      </c>
      <c r="C25" s="153">
        <v>35.005949999999999</v>
      </c>
      <c r="D25" s="110">
        <v>35</v>
      </c>
      <c r="E25" s="114" t="str">
        <f t="shared" si="8"/>
        <v>X</v>
      </c>
      <c r="F25" s="119" t="str">
        <f t="shared" si="9"/>
        <v/>
      </c>
      <c r="G25" s="153">
        <v>35.001069999999999</v>
      </c>
      <c r="H25" s="110">
        <v>35</v>
      </c>
      <c r="I25" s="114" t="str">
        <f t="shared" si="10"/>
        <v>X</v>
      </c>
      <c r="J25" s="119" t="str">
        <f t="shared" si="11"/>
        <v/>
      </c>
      <c r="K25" s="116">
        <v>35.026699999999998</v>
      </c>
      <c r="L25" s="110">
        <v>35</v>
      </c>
      <c r="M25" s="114" t="str">
        <f t="shared" si="12"/>
        <v>X</v>
      </c>
      <c r="N25" s="119" t="str">
        <f t="shared" si="13"/>
        <v/>
      </c>
      <c r="O25" s="112">
        <v>35.014499999999998</v>
      </c>
      <c r="P25" s="110">
        <v>35</v>
      </c>
      <c r="Q25" s="114" t="str">
        <f t="shared" si="14"/>
        <v>X</v>
      </c>
      <c r="R25" s="119" t="str">
        <f t="shared" si="15"/>
        <v/>
      </c>
      <c r="S25" s="51"/>
      <c r="T25" s="51"/>
      <c r="U25" s="51"/>
      <c r="V25" s="51"/>
      <c r="W25" s="51"/>
      <c r="X25" s="51"/>
      <c r="Y25" s="51"/>
      <c r="Z25" s="51"/>
    </row>
    <row r="26" spans="1:26" ht="13" thickBot="1" x14ac:dyDescent="0.3">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spans="1:26" ht="16.5" customHeight="1" thickBot="1" x14ac:dyDescent="0.4">
      <c r="A27" s="285" t="s">
        <v>48</v>
      </c>
      <c r="B27" s="286"/>
      <c r="C27" s="286"/>
      <c r="D27" s="286"/>
      <c r="E27" s="286"/>
      <c r="F27" s="286"/>
      <c r="G27" s="286"/>
      <c r="H27" s="286"/>
      <c r="I27" s="286"/>
      <c r="J27" s="286"/>
      <c r="K27" s="286"/>
      <c r="L27" s="286"/>
      <c r="M27" s="286"/>
      <c r="N27" s="286"/>
      <c r="O27" s="286"/>
      <c r="P27" s="286"/>
      <c r="Q27" s="286"/>
      <c r="R27" s="286"/>
      <c r="S27" s="286"/>
      <c r="T27" s="286"/>
      <c r="U27" s="286"/>
      <c r="V27" s="286"/>
      <c r="W27" s="286"/>
      <c r="X27" s="286"/>
      <c r="Y27" s="286"/>
      <c r="Z27" s="287"/>
    </row>
    <row r="28" spans="1:26" ht="13.5" customHeight="1" thickBot="1" x14ac:dyDescent="0.3">
      <c r="A28" s="293" t="s">
        <v>39</v>
      </c>
      <c r="B28" s="302" t="s">
        <v>20</v>
      </c>
      <c r="C28" s="299" t="s">
        <v>33</v>
      </c>
      <c r="D28" s="300"/>
      <c r="E28" s="300"/>
      <c r="F28" s="301"/>
      <c r="G28" s="299" t="s">
        <v>34</v>
      </c>
      <c r="H28" s="300"/>
      <c r="I28" s="300"/>
      <c r="J28" s="301"/>
      <c r="K28" s="299" t="s">
        <v>35</v>
      </c>
      <c r="L28" s="300"/>
      <c r="M28" s="300"/>
      <c r="N28" s="301"/>
      <c r="O28" s="299" t="s">
        <v>36</v>
      </c>
      <c r="P28" s="300"/>
      <c r="Q28" s="300"/>
      <c r="R28" s="301"/>
      <c r="S28" s="51"/>
      <c r="T28" s="51"/>
      <c r="U28" s="51"/>
      <c r="V28" s="51"/>
      <c r="W28" s="51"/>
      <c r="X28" s="51"/>
      <c r="Y28" s="51"/>
      <c r="Z28" s="51"/>
    </row>
    <row r="29" spans="1:26" ht="12.75" customHeight="1" x14ac:dyDescent="0.25">
      <c r="A29" s="294"/>
      <c r="B29" s="297"/>
      <c r="C29" s="291" t="s">
        <v>41</v>
      </c>
      <c r="D29" s="281" t="s">
        <v>40</v>
      </c>
      <c r="E29" s="281" t="s">
        <v>0</v>
      </c>
      <c r="F29" s="283" t="s">
        <v>1</v>
      </c>
      <c r="G29" s="291" t="s">
        <v>41</v>
      </c>
      <c r="H29" s="281" t="s">
        <v>40</v>
      </c>
      <c r="I29" s="281" t="s">
        <v>0</v>
      </c>
      <c r="J29" s="283" t="s">
        <v>1</v>
      </c>
      <c r="K29" s="291" t="s">
        <v>41</v>
      </c>
      <c r="L29" s="281" t="s">
        <v>40</v>
      </c>
      <c r="M29" s="281" t="s">
        <v>0</v>
      </c>
      <c r="N29" s="283" t="s">
        <v>1</v>
      </c>
      <c r="O29" s="291" t="s">
        <v>41</v>
      </c>
      <c r="P29" s="281" t="s">
        <v>40</v>
      </c>
      <c r="Q29" s="281" t="s">
        <v>0</v>
      </c>
      <c r="R29" s="283" t="s">
        <v>1</v>
      </c>
      <c r="S29" s="51"/>
      <c r="T29" s="51"/>
      <c r="U29" s="51"/>
      <c r="V29" s="51"/>
      <c r="W29" s="51"/>
      <c r="X29" s="51"/>
      <c r="Y29" s="51"/>
      <c r="Z29" s="51"/>
    </row>
    <row r="30" spans="1:26" ht="13" thickBot="1" x14ac:dyDescent="0.3">
      <c r="A30" s="295"/>
      <c r="B30" s="298"/>
      <c r="C30" s="292"/>
      <c r="D30" s="282"/>
      <c r="E30" s="282"/>
      <c r="F30" s="284"/>
      <c r="G30" s="292"/>
      <c r="H30" s="282"/>
      <c r="I30" s="282"/>
      <c r="J30" s="284"/>
      <c r="K30" s="292"/>
      <c r="L30" s="282"/>
      <c r="M30" s="282"/>
      <c r="N30" s="284"/>
      <c r="O30" s="292"/>
      <c r="P30" s="282"/>
      <c r="Q30" s="282"/>
      <c r="R30" s="284"/>
      <c r="S30" s="51"/>
      <c r="T30" s="51"/>
      <c r="U30" s="51"/>
      <c r="V30" s="51"/>
      <c r="W30" s="51"/>
      <c r="X30" s="51"/>
      <c r="Y30" s="51"/>
      <c r="Z30" s="51"/>
    </row>
    <row r="31" spans="1:26" ht="16.5" customHeight="1" thickBot="1" x14ac:dyDescent="0.3">
      <c r="A31" s="110">
        <v>0</v>
      </c>
      <c r="B31" s="111">
        <v>1.2E-2</v>
      </c>
      <c r="C31" s="112">
        <v>0</v>
      </c>
      <c r="D31" s="110">
        <v>0</v>
      </c>
      <c r="E31" s="114" t="str">
        <f t="shared" ref="E31:E38" si="16">IF(C31&lt;&gt;"",IF(AND(C31&gt;=(D31-(D31*$B31)),C31&lt;=(D31+(D31*$B31))),"X",""),"")</f>
        <v>X</v>
      </c>
      <c r="F31" s="115" t="str">
        <f t="shared" ref="F31:F38" si="17">IF(NOT(E31="X"),"X","")</f>
        <v/>
      </c>
      <c r="G31" s="112">
        <v>0</v>
      </c>
      <c r="H31" s="110">
        <v>0</v>
      </c>
      <c r="I31" s="114" t="str">
        <f t="shared" ref="I31:I38" si="18">IF(G31&lt;&gt;"",IF(AND(G31&gt;=(H31-(H31*$B31)),G31&lt;=(H31+(H31*$B31))),"X",""),"")</f>
        <v>X</v>
      </c>
      <c r="J31" s="115" t="str">
        <f t="shared" ref="J31:J38" si="19">IF(NOT(I31="X"),"X","")</f>
        <v/>
      </c>
      <c r="K31" s="112">
        <v>0</v>
      </c>
      <c r="L31" s="110">
        <v>0</v>
      </c>
      <c r="M31" s="114" t="str">
        <f t="shared" ref="M31:M38" si="20">IF(K31&lt;&gt;"",IF(AND(K31&gt;=(L31-(L31*$B31)),K31&lt;=(L31+(L31*$B31))),"X",""),"")</f>
        <v>X</v>
      </c>
      <c r="N31" s="115" t="str">
        <f t="shared" ref="N31:N38" si="21">IF(NOT(M31="X"),"X","")</f>
        <v/>
      </c>
      <c r="O31" s="112">
        <v>0</v>
      </c>
      <c r="P31" s="110">
        <v>0</v>
      </c>
      <c r="Q31" s="114" t="str">
        <f t="shared" ref="Q31:Q38" si="22">IF(O31&lt;&gt;"",IF(AND(O31&gt;=(P31-(P31*$B31)),O31&lt;=(P31+(P31*$B31))),"X",""),"")</f>
        <v>X</v>
      </c>
      <c r="R31" s="115" t="str">
        <f t="shared" ref="R31:R38" si="23">IF(NOT(Q31="X"),"X","")</f>
        <v/>
      </c>
      <c r="S31" s="51"/>
      <c r="T31" s="51"/>
      <c r="U31" s="51"/>
      <c r="V31" s="51"/>
      <c r="W31" s="51"/>
      <c r="X31" s="51"/>
      <c r="Y31" s="51"/>
      <c r="Z31" s="51"/>
    </row>
    <row r="32" spans="1:26" ht="13.5" customHeight="1" thickBot="1" x14ac:dyDescent="0.3">
      <c r="A32" s="110">
        <v>5</v>
      </c>
      <c r="B32" s="111">
        <v>1.2E-2</v>
      </c>
      <c r="C32" s="116">
        <v>4.9977099999999997</v>
      </c>
      <c r="D32" s="110">
        <v>5</v>
      </c>
      <c r="E32" s="118" t="str">
        <f t="shared" si="16"/>
        <v>X</v>
      </c>
      <c r="F32" s="119" t="str">
        <f t="shared" si="17"/>
        <v/>
      </c>
      <c r="G32" s="116">
        <v>4.9952699999999997</v>
      </c>
      <c r="H32" s="110">
        <v>5</v>
      </c>
      <c r="I32" s="118" t="str">
        <f t="shared" si="18"/>
        <v>X</v>
      </c>
      <c r="J32" s="119" t="str">
        <f t="shared" si="19"/>
        <v/>
      </c>
      <c r="K32" s="116">
        <v>5.0013699999999996</v>
      </c>
      <c r="L32" s="110">
        <v>5</v>
      </c>
      <c r="M32" s="118" t="str">
        <f t="shared" si="20"/>
        <v>X</v>
      </c>
      <c r="N32" s="119" t="str">
        <f t="shared" si="21"/>
        <v/>
      </c>
      <c r="O32" s="112">
        <v>4.98184</v>
      </c>
      <c r="P32" s="110">
        <v>5</v>
      </c>
      <c r="Q32" s="118" t="str">
        <f t="shared" si="22"/>
        <v>X</v>
      </c>
      <c r="R32" s="119" t="str">
        <f t="shared" si="23"/>
        <v/>
      </c>
      <c r="S32" s="51"/>
      <c r="T32" s="51"/>
      <c r="U32" s="51"/>
      <c r="V32" s="51"/>
      <c r="W32" s="51"/>
      <c r="X32" s="51"/>
      <c r="Y32" s="51"/>
      <c r="Z32" s="51"/>
    </row>
    <row r="33" spans="1:26" ht="12.75" customHeight="1" thickBot="1" x14ac:dyDescent="0.3">
      <c r="A33" s="110">
        <v>10</v>
      </c>
      <c r="B33" s="111">
        <v>1.2E-2</v>
      </c>
      <c r="C33" s="116">
        <v>9.9978599999999993</v>
      </c>
      <c r="D33" s="110">
        <v>10</v>
      </c>
      <c r="E33" s="118" t="str">
        <f t="shared" si="16"/>
        <v>X</v>
      </c>
      <c r="F33" s="119" t="str">
        <f t="shared" si="17"/>
        <v/>
      </c>
      <c r="G33" s="116">
        <v>10.006410000000001</v>
      </c>
      <c r="H33" s="110">
        <v>10</v>
      </c>
      <c r="I33" s="118" t="str">
        <f t="shared" si="18"/>
        <v>X</v>
      </c>
      <c r="J33" s="119" t="str">
        <f t="shared" si="19"/>
        <v/>
      </c>
      <c r="K33" s="116">
        <v>9.9954199999999993</v>
      </c>
      <c r="L33" s="110">
        <v>10</v>
      </c>
      <c r="M33" s="118" t="str">
        <f t="shared" si="20"/>
        <v>X</v>
      </c>
      <c r="N33" s="119" t="str">
        <f t="shared" si="21"/>
        <v/>
      </c>
      <c r="O33" s="112">
        <v>9.9868799999999993</v>
      </c>
      <c r="P33" s="110">
        <v>10</v>
      </c>
      <c r="Q33" s="118" t="str">
        <f t="shared" si="22"/>
        <v>X</v>
      </c>
      <c r="R33" s="119" t="str">
        <f t="shared" si="23"/>
        <v/>
      </c>
      <c r="S33" s="51"/>
      <c r="T33" s="51"/>
      <c r="U33" s="51"/>
      <c r="V33" s="51"/>
      <c r="W33" s="51"/>
      <c r="X33" s="51"/>
      <c r="Y33" s="51"/>
      <c r="Z33" s="51"/>
    </row>
    <row r="34" spans="1:26" ht="13" thickBot="1" x14ac:dyDescent="0.3">
      <c r="A34" s="110">
        <v>15</v>
      </c>
      <c r="B34" s="111">
        <v>1.2E-2</v>
      </c>
      <c r="C34" s="116">
        <v>15.00656</v>
      </c>
      <c r="D34" s="110">
        <v>15</v>
      </c>
      <c r="E34" s="118" t="str">
        <f t="shared" si="16"/>
        <v>X</v>
      </c>
      <c r="F34" s="119" t="str">
        <f t="shared" si="17"/>
        <v/>
      </c>
      <c r="G34" s="116">
        <v>14.991910000000001</v>
      </c>
      <c r="H34" s="110">
        <v>15</v>
      </c>
      <c r="I34" s="118" t="str">
        <f t="shared" si="18"/>
        <v>X</v>
      </c>
      <c r="J34" s="119" t="str">
        <f t="shared" si="19"/>
        <v/>
      </c>
      <c r="K34" s="116">
        <v>14.988250000000001</v>
      </c>
      <c r="L34" s="110">
        <v>15</v>
      </c>
      <c r="M34" s="118" t="str">
        <f t="shared" si="20"/>
        <v>X</v>
      </c>
      <c r="N34" s="119" t="str">
        <f t="shared" si="21"/>
        <v/>
      </c>
      <c r="O34" s="112">
        <v>15.0029</v>
      </c>
      <c r="P34" s="110">
        <v>15</v>
      </c>
      <c r="Q34" s="118" t="str">
        <f t="shared" si="22"/>
        <v>X</v>
      </c>
      <c r="R34" s="119" t="str">
        <f t="shared" si="23"/>
        <v/>
      </c>
      <c r="S34" s="51"/>
      <c r="T34" s="51"/>
      <c r="U34" s="51"/>
      <c r="V34" s="51"/>
      <c r="W34" s="51"/>
      <c r="X34" s="51"/>
      <c r="Y34" s="51"/>
      <c r="Z34" s="51"/>
    </row>
    <row r="35" spans="1:26" ht="13" thickBot="1" x14ac:dyDescent="0.3">
      <c r="A35" s="110">
        <v>20</v>
      </c>
      <c r="B35" s="111">
        <v>1.2E-2</v>
      </c>
      <c r="C35" s="116">
        <v>20.003050000000002</v>
      </c>
      <c r="D35" s="110">
        <v>20</v>
      </c>
      <c r="E35" s="114" t="str">
        <f t="shared" si="16"/>
        <v>X</v>
      </c>
      <c r="F35" s="119" t="str">
        <f t="shared" si="17"/>
        <v/>
      </c>
      <c r="G35" s="116">
        <v>20.010380000000001</v>
      </c>
      <c r="H35" s="110">
        <v>20</v>
      </c>
      <c r="I35" s="114" t="str">
        <f t="shared" si="18"/>
        <v>X</v>
      </c>
      <c r="J35" s="119" t="str">
        <f t="shared" si="19"/>
        <v/>
      </c>
      <c r="K35" s="116">
        <v>20.001830000000002</v>
      </c>
      <c r="L35" s="110">
        <v>20</v>
      </c>
      <c r="M35" s="114" t="str">
        <f t="shared" si="20"/>
        <v>X</v>
      </c>
      <c r="N35" s="119" t="str">
        <f t="shared" si="21"/>
        <v/>
      </c>
      <c r="O35" s="112">
        <v>19.979859999999999</v>
      </c>
      <c r="P35" s="110">
        <v>20</v>
      </c>
      <c r="Q35" s="114" t="str">
        <f t="shared" si="22"/>
        <v>X</v>
      </c>
      <c r="R35" s="119" t="str">
        <f t="shared" si="23"/>
        <v/>
      </c>
    </row>
    <row r="36" spans="1:26" ht="13" thickBot="1" x14ac:dyDescent="0.3">
      <c r="A36" s="110">
        <v>25</v>
      </c>
      <c r="B36" s="111">
        <v>1.2E-2</v>
      </c>
      <c r="C36" s="116">
        <v>24.9971</v>
      </c>
      <c r="D36" s="110">
        <v>25</v>
      </c>
      <c r="E36" s="114" t="str">
        <f t="shared" si="16"/>
        <v>X</v>
      </c>
      <c r="F36" s="119" t="str">
        <f t="shared" si="17"/>
        <v/>
      </c>
      <c r="G36" s="116">
        <v>25.00198</v>
      </c>
      <c r="H36" s="110">
        <v>25</v>
      </c>
      <c r="I36" s="114" t="str">
        <f t="shared" si="18"/>
        <v>X</v>
      </c>
      <c r="J36" s="119" t="str">
        <f t="shared" si="19"/>
        <v/>
      </c>
      <c r="K36" s="116">
        <v>25.0032</v>
      </c>
      <c r="L36" s="110">
        <v>25</v>
      </c>
      <c r="M36" s="114" t="str">
        <f t="shared" si="20"/>
        <v>X</v>
      </c>
      <c r="N36" s="119" t="str">
        <f t="shared" si="21"/>
        <v/>
      </c>
      <c r="O36" s="112">
        <v>24.98856</v>
      </c>
      <c r="P36" s="110">
        <v>25</v>
      </c>
      <c r="Q36" s="114" t="str">
        <f t="shared" si="22"/>
        <v>X</v>
      </c>
      <c r="R36" s="119" t="str">
        <f t="shared" si="23"/>
        <v/>
      </c>
    </row>
    <row r="37" spans="1:26" ht="13" thickBot="1" x14ac:dyDescent="0.3">
      <c r="A37" s="110">
        <v>30</v>
      </c>
      <c r="B37" s="111">
        <v>1.2E-2</v>
      </c>
      <c r="C37" s="116">
        <v>29.996030000000001</v>
      </c>
      <c r="D37" s="110">
        <v>30</v>
      </c>
      <c r="E37" s="114" t="str">
        <f t="shared" si="16"/>
        <v>X</v>
      </c>
      <c r="F37" s="119" t="str">
        <f t="shared" si="17"/>
        <v/>
      </c>
      <c r="G37" s="116">
        <v>30.02777</v>
      </c>
      <c r="H37" s="110">
        <v>30</v>
      </c>
      <c r="I37" s="114" t="str">
        <f t="shared" si="18"/>
        <v>X</v>
      </c>
      <c r="J37" s="119" t="str">
        <f t="shared" si="19"/>
        <v/>
      </c>
      <c r="K37" s="116">
        <v>29.994810000000001</v>
      </c>
      <c r="L37" s="110">
        <v>30</v>
      </c>
      <c r="M37" s="114" t="str">
        <f t="shared" si="20"/>
        <v>X</v>
      </c>
      <c r="N37" s="119" t="str">
        <f t="shared" si="21"/>
        <v/>
      </c>
      <c r="O37" s="112">
        <v>30.014340000000001</v>
      </c>
      <c r="P37" s="110">
        <v>30</v>
      </c>
      <c r="Q37" s="114" t="str">
        <f t="shared" si="22"/>
        <v>X</v>
      </c>
      <c r="R37" s="119" t="str">
        <f t="shared" si="23"/>
        <v/>
      </c>
    </row>
    <row r="38" spans="1:26" x14ac:dyDescent="0.25">
      <c r="A38" s="110">
        <v>35</v>
      </c>
      <c r="B38" s="111">
        <v>1.2E-2</v>
      </c>
      <c r="C38" s="116">
        <v>35.015720000000002</v>
      </c>
      <c r="D38" s="110">
        <v>35</v>
      </c>
      <c r="E38" s="114" t="str">
        <f t="shared" si="16"/>
        <v>X</v>
      </c>
      <c r="F38" s="119" t="str">
        <f t="shared" si="17"/>
        <v/>
      </c>
      <c r="G38" s="116">
        <v>34.998629999999999</v>
      </c>
      <c r="H38" s="110">
        <v>35</v>
      </c>
      <c r="I38" s="114" t="str">
        <f t="shared" si="18"/>
        <v>X</v>
      </c>
      <c r="J38" s="119" t="str">
        <f t="shared" si="19"/>
        <v/>
      </c>
      <c r="K38" s="116">
        <v>34.993740000000003</v>
      </c>
      <c r="L38" s="110">
        <v>35</v>
      </c>
      <c r="M38" s="114" t="str">
        <f t="shared" si="20"/>
        <v>X</v>
      </c>
      <c r="N38" s="119" t="str">
        <f t="shared" si="21"/>
        <v/>
      </c>
      <c r="O38" s="112">
        <v>34.997410000000002</v>
      </c>
      <c r="P38" s="110">
        <v>35</v>
      </c>
      <c r="Q38" s="114" t="str">
        <f t="shared" si="22"/>
        <v>X</v>
      </c>
      <c r="R38" s="119" t="str">
        <f t="shared" si="23"/>
        <v/>
      </c>
    </row>
    <row r="40" spans="1:26" x14ac:dyDescent="0.25">
      <c r="B40" s="29"/>
    </row>
  </sheetData>
  <mergeCells count="69">
    <mergeCell ref="G29:G30"/>
    <mergeCell ref="H29:H30"/>
    <mergeCell ref="C28:F28"/>
    <mergeCell ref="G28:J28"/>
    <mergeCell ref="C29:C30"/>
    <mergeCell ref="D29:D30"/>
    <mergeCell ref="E29:E30"/>
    <mergeCell ref="F29:F30"/>
    <mergeCell ref="I29:I30"/>
    <mergeCell ref="J29:J30"/>
    <mergeCell ref="M29:M30"/>
    <mergeCell ref="K28:N28"/>
    <mergeCell ref="O28:R28"/>
    <mergeCell ref="Q29:Q30"/>
    <mergeCell ref="R29:R30"/>
    <mergeCell ref="O29:O30"/>
    <mergeCell ref="P29:P30"/>
    <mergeCell ref="K29:K30"/>
    <mergeCell ref="L29:L30"/>
    <mergeCell ref="N29:N30"/>
    <mergeCell ref="P16:P17"/>
    <mergeCell ref="Q16:Q17"/>
    <mergeCell ref="R16:R17"/>
    <mergeCell ref="L16:L17"/>
    <mergeCell ref="M16:M17"/>
    <mergeCell ref="N16:N17"/>
    <mergeCell ref="O16:O17"/>
    <mergeCell ref="A28:A30"/>
    <mergeCell ref="B28:B30"/>
    <mergeCell ref="G15:J15"/>
    <mergeCell ref="K15:N15"/>
    <mergeCell ref="D16:D17"/>
    <mergeCell ref="E16:E17"/>
    <mergeCell ref="F16:F17"/>
    <mergeCell ref="G16:G17"/>
    <mergeCell ref="H16:H17"/>
    <mergeCell ref="I16:I17"/>
    <mergeCell ref="C16:C17"/>
    <mergeCell ref="B15:B17"/>
    <mergeCell ref="C15:F15"/>
    <mergeCell ref="J16:J17"/>
    <mergeCell ref="K16:K17"/>
    <mergeCell ref="A27:Z27"/>
    <mergeCell ref="A14:Z14"/>
    <mergeCell ref="B2:B4"/>
    <mergeCell ref="G2:J2"/>
    <mergeCell ref="O15:R15"/>
    <mergeCell ref="C3:C4"/>
    <mergeCell ref="D3:D4"/>
    <mergeCell ref="E3:E4"/>
    <mergeCell ref="I3:I4"/>
    <mergeCell ref="L3:L4"/>
    <mergeCell ref="M3:M4"/>
    <mergeCell ref="N3:N4"/>
    <mergeCell ref="K2:N2"/>
    <mergeCell ref="O2:R2"/>
    <mergeCell ref="O3:O4"/>
    <mergeCell ref="P3:P4"/>
    <mergeCell ref="A15:A17"/>
    <mergeCell ref="Q3:Q4"/>
    <mergeCell ref="R3:R4"/>
    <mergeCell ref="A1:Z1"/>
    <mergeCell ref="C2:F2"/>
    <mergeCell ref="F3:F4"/>
    <mergeCell ref="G3:G4"/>
    <mergeCell ref="H3:H4"/>
    <mergeCell ref="A2:A4"/>
    <mergeCell ref="J3:J4"/>
    <mergeCell ref="K3:K4"/>
  </mergeCells>
  <conditionalFormatting sqref="E6:E13 I6:I13 M6:M13 Q6:Q13">
    <cfRule type="cellIs" dxfId="46" priority="7" stopIfTrue="1" operator="equal">
      <formula>"X"</formula>
    </cfRule>
  </conditionalFormatting>
  <conditionalFormatting sqref="E18:E25 I18:I25 M18:M25 Q18:Q25">
    <cfRule type="cellIs" dxfId="45" priority="5" stopIfTrue="1" operator="equal">
      <formula>"X"</formula>
    </cfRule>
  </conditionalFormatting>
  <conditionalFormatting sqref="E31:E38 I31:I38 M31:M38 Q31:Q38">
    <cfRule type="cellIs" dxfId="44" priority="1" stopIfTrue="1" operator="equal">
      <formula>"X"</formula>
    </cfRule>
  </conditionalFormatting>
  <conditionalFormatting sqref="F6:F13 J6:J13 N6:N13 R6:R13">
    <cfRule type="cellIs" dxfId="43" priority="8" stopIfTrue="1" operator="equal">
      <formula>"X"</formula>
    </cfRule>
  </conditionalFormatting>
  <conditionalFormatting sqref="F18:F25 J18:J25 N18:N25 R18:R25">
    <cfRule type="cellIs" dxfId="42" priority="6" stopIfTrue="1" operator="equal">
      <formula>"X"</formula>
    </cfRule>
  </conditionalFormatting>
  <conditionalFormatting sqref="F31:F38 J31:J38 N31:N38 R31:R38">
    <cfRule type="cellIs" dxfId="41" priority="2" stopIfTrue="1" operator="equal">
      <formula>"X"</formula>
    </cfRule>
  </conditionalFormatting>
  <pageMargins left="0.78740157480314965" right="0.78740157480314965" top="0.98425196850393704" bottom="0.98425196850393704" header="0.51181102362204722" footer="0.51181102362204722"/>
  <pageSetup paperSize="9" scale="60" orientation="landscape" r:id="rId1"/>
  <headerFooter alignWithMargins="0">
    <oddFooter>&amp;Lform 384en.00</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B68D1-7A86-4BDB-A28E-83C2415AC8CD}">
  <sheetPr>
    <pageSetUpPr fitToPage="1"/>
  </sheetPr>
  <dimension ref="A1:R45"/>
  <sheetViews>
    <sheetView view="pageBreakPreview" zoomScale="85" zoomScaleNormal="100" zoomScaleSheetLayoutView="85" workbookViewId="0">
      <selection activeCell="E9" sqref="E9:E10"/>
    </sheetView>
  </sheetViews>
  <sheetFormatPr defaultColWidth="9.1796875" defaultRowHeight="12.5" x14ac:dyDescent="0.25"/>
  <cols>
    <col min="1" max="2" width="11.453125" style="22" customWidth="1"/>
    <col min="3" max="3" width="11.7265625" style="22" customWidth="1"/>
    <col min="4" max="4" width="11.453125" style="22" customWidth="1"/>
    <col min="5" max="6" width="4.7265625" style="22" customWidth="1"/>
    <col min="7" max="7" width="11.81640625" style="22" customWidth="1"/>
    <col min="8" max="8" width="11.453125" style="22" customWidth="1"/>
    <col min="9" max="10" width="4.7265625" style="22" customWidth="1"/>
    <col min="11" max="11" width="11.81640625" style="22" customWidth="1"/>
    <col min="12" max="12" width="11.453125" style="22" customWidth="1"/>
    <col min="13" max="14" width="4.7265625" style="22" customWidth="1"/>
    <col min="15" max="15" width="11.81640625" style="22" customWidth="1"/>
    <col min="16" max="16" width="11.453125" style="22" customWidth="1"/>
    <col min="17" max="18" width="4.7265625" style="22" customWidth="1"/>
    <col min="19" max="16384" width="9.1796875" style="22"/>
  </cols>
  <sheetData>
    <row r="1" spans="1:18" ht="16.5" customHeight="1" x14ac:dyDescent="0.35">
      <c r="A1" s="303" t="s">
        <v>49</v>
      </c>
      <c r="B1" s="303"/>
      <c r="C1" s="303"/>
      <c r="D1" s="303"/>
      <c r="E1" s="303"/>
      <c r="F1" s="303"/>
      <c r="G1" s="303"/>
      <c r="H1" s="303"/>
      <c r="I1" s="303"/>
      <c r="J1" s="303"/>
      <c r="K1" s="303"/>
      <c r="L1" s="303"/>
      <c r="M1" s="303"/>
      <c r="N1" s="303"/>
      <c r="O1" s="303"/>
      <c r="P1" s="303"/>
      <c r="Q1" s="303"/>
      <c r="R1" s="303"/>
    </row>
    <row r="2" spans="1:18" ht="13.5" customHeight="1" x14ac:dyDescent="0.25">
      <c r="A2" s="304" t="s">
        <v>39</v>
      </c>
      <c r="B2" s="304" t="s">
        <v>20</v>
      </c>
      <c r="C2" s="304" t="s">
        <v>33</v>
      </c>
      <c r="D2" s="304"/>
      <c r="E2" s="304"/>
      <c r="F2" s="304"/>
      <c r="G2" s="304" t="s">
        <v>34</v>
      </c>
      <c r="H2" s="304"/>
      <c r="I2" s="304"/>
      <c r="J2" s="304"/>
      <c r="K2" s="304" t="s">
        <v>35</v>
      </c>
      <c r="L2" s="304"/>
      <c r="M2" s="304"/>
      <c r="N2" s="304"/>
      <c r="O2" s="304" t="s">
        <v>36</v>
      </c>
      <c r="P2" s="304"/>
      <c r="Q2" s="304"/>
      <c r="R2" s="304"/>
    </row>
    <row r="3" spans="1:18" s="27" customFormat="1" ht="13.5" customHeight="1" x14ac:dyDescent="0.25">
      <c r="A3" s="304"/>
      <c r="B3" s="304"/>
      <c r="C3" s="305" t="s">
        <v>41</v>
      </c>
      <c r="D3" s="305" t="s">
        <v>40</v>
      </c>
      <c r="E3" s="305" t="s">
        <v>0</v>
      </c>
      <c r="F3" s="305" t="s">
        <v>1</v>
      </c>
      <c r="G3" s="305" t="s">
        <v>41</v>
      </c>
      <c r="H3" s="305" t="s">
        <v>40</v>
      </c>
      <c r="I3" s="305" t="s">
        <v>0</v>
      </c>
      <c r="J3" s="305" t="s">
        <v>1</v>
      </c>
      <c r="K3" s="305" t="s">
        <v>41</v>
      </c>
      <c r="L3" s="305" t="s">
        <v>40</v>
      </c>
      <c r="M3" s="305" t="s">
        <v>0</v>
      </c>
      <c r="N3" s="305" t="s">
        <v>1</v>
      </c>
      <c r="O3" s="305" t="s">
        <v>41</v>
      </c>
      <c r="P3" s="305" t="s">
        <v>40</v>
      </c>
      <c r="Q3" s="305" t="s">
        <v>0</v>
      </c>
      <c r="R3" s="305" t="s">
        <v>1</v>
      </c>
    </row>
    <row r="4" spans="1:18" s="27" customFormat="1" ht="12.75" customHeight="1" x14ac:dyDescent="0.25">
      <c r="A4" s="304"/>
      <c r="B4" s="304"/>
      <c r="C4" s="305"/>
      <c r="D4" s="305"/>
      <c r="E4" s="305"/>
      <c r="F4" s="305"/>
      <c r="G4" s="305"/>
      <c r="H4" s="305"/>
      <c r="I4" s="305"/>
      <c r="J4" s="305"/>
      <c r="K4" s="305"/>
      <c r="L4" s="305"/>
      <c r="M4" s="305"/>
      <c r="N4" s="305"/>
      <c r="O4" s="305"/>
      <c r="P4" s="305"/>
      <c r="Q4" s="305"/>
      <c r="R4" s="305"/>
    </row>
    <row r="5" spans="1:18" s="27" customFormat="1" ht="12.75" customHeight="1" thickBot="1" x14ac:dyDescent="0.3">
      <c r="A5" s="59" t="s">
        <v>4</v>
      </c>
      <c r="B5" s="59" t="s">
        <v>5</v>
      </c>
      <c r="C5" s="60" t="s">
        <v>4</v>
      </c>
      <c r="D5" s="60" t="s">
        <v>4</v>
      </c>
      <c r="E5" s="60"/>
      <c r="F5" s="60"/>
      <c r="G5" s="60"/>
      <c r="H5" s="60"/>
      <c r="I5" s="60"/>
      <c r="J5" s="60"/>
      <c r="K5" s="60"/>
      <c r="L5" s="60"/>
      <c r="M5" s="60"/>
      <c r="N5" s="60"/>
      <c r="O5" s="60"/>
      <c r="P5" s="60"/>
      <c r="Q5" s="60"/>
      <c r="R5" s="60"/>
    </row>
    <row r="6" spans="1:18" x14ac:dyDescent="0.25">
      <c r="A6" s="110">
        <v>1</v>
      </c>
      <c r="B6" s="111">
        <v>5.0000000000000001E-4</v>
      </c>
      <c r="C6" s="112">
        <v>1.00038</v>
      </c>
      <c r="D6" s="113">
        <v>1</v>
      </c>
      <c r="E6" s="114" t="str">
        <f t="shared" ref="E6:E10" si="0">IF(C6&lt;&gt;"",IF(AND(C6&gt;=(D6-(D6*$B6)),C6&lt;=(D6+(D6*$B6))),"X",""),"")</f>
        <v>X</v>
      </c>
      <c r="F6" s="115" t="str">
        <f t="shared" ref="F6:F10" si="1">IF(NOT(E6="X"),"X","")</f>
        <v/>
      </c>
      <c r="G6" s="112">
        <v>3.0009999999999999</v>
      </c>
      <c r="H6" s="113">
        <v>3</v>
      </c>
      <c r="I6" s="114" t="str">
        <f t="shared" ref="I6:I10" si="2">IF(G6&lt;&gt;"",IF(AND(G6&gt;=(H6-(H6*$B6)),G6&lt;=(H6+(H6*$B6))),"X",""),"")</f>
        <v>X</v>
      </c>
      <c r="J6" s="115" t="str">
        <f t="shared" ref="J6:J10" si="3">IF(NOT(I6="X"),"X","")</f>
        <v/>
      </c>
      <c r="K6" s="112">
        <v>3.0009999999999999</v>
      </c>
      <c r="L6" s="113">
        <v>3</v>
      </c>
      <c r="M6" s="114" t="str">
        <f t="shared" ref="M6:M9" si="4">IF(K6&lt;&gt;"",IF(AND(K6&gt;=(L6-(L6*$B6)),K6&lt;=(L6+(L6*$B6))),"X",""),"")</f>
        <v>X</v>
      </c>
      <c r="N6" s="115" t="str">
        <f t="shared" ref="N6:N9" si="5">IF(NOT(M6="X"),"X","")</f>
        <v/>
      </c>
      <c r="O6" s="112">
        <v>3.9990000000000001</v>
      </c>
      <c r="P6" s="113">
        <v>4</v>
      </c>
      <c r="Q6" s="114" t="str">
        <f t="shared" ref="Q6:Q9" si="6">IF(O6&lt;&gt;"",IF(AND(O6&gt;=(P6-(P6*$B6)),O6&lt;=(P6+(P6*$B6))),"X",""),"")</f>
        <v>X</v>
      </c>
      <c r="R6" s="115" t="str">
        <f t="shared" ref="R6:R9" si="7">IF(NOT(Q6="X"),"X","")</f>
        <v/>
      </c>
    </row>
    <row r="7" spans="1:18" x14ac:dyDescent="0.25">
      <c r="A7" s="110">
        <v>5</v>
      </c>
      <c r="B7" s="111">
        <v>5.0000000000000001E-4</v>
      </c>
      <c r="C7" s="116">
        <v>4.9978899999999999</v>
      </c>
      <c r="D7" s="117">
        <v>5</v>
      </c>
      <c r="E7" s="118" t="str">
        <f t="shared" si="0"/>
        <v>X</v>
      </c>
      <c r="F7" s="119" t="str">
        <f t="shared" si="1"/>
        <v/>
      </c>
      <c r="G7" s="116">
        <v>4.9989999999999997</v>
      </c>
      <c r="H7" s="117">
        <v>5</v>
      </c>
      <c r="I7" s="118" t="str">
        <f t="shared" si="2"/>
        <v>X</v>
      </c>
      <c r="J7" s="119" t="str">
        <f t="shared" si="3"/>
        <v/>
      </c>
      <c r="K7" s="116">
        <v>4.9989999999999997</v>
      </c>
      <c r="L7" s="117">
        <v>5</v>
      </c>
      <c r="M7" s="118" t="str">
        <f t="shared" si="4"/>
        <v>X</v>
      </c>
      <c r="N7" s="119" t="str">
        <f t="shared" si="5"/>
        <v/>
      </c>
      <c r="O7" s="116">
        <v>4.9989999999999997</v>
      </c>
      <c r="P7" s="117">
        <v>5</v>
      </c>
      <c r="Q7" s="118" t="str">
        <f t="shared" si="6"/>
        <v>X</v>
      </c>
      <c r="R7" s="119" t="str">
        <f t="shared" si="7"/>
        <v/>
      </c>
    </row>
    <row r="8" spans="1:18" x14ac:dyDescent="0.25">
      <c r="A8" s="110">
        <v>10</v>
      </c>
      <c r="B8" s="111">
        <v>5.0000000000000001E-4</v>
      </c>
      <c r="C8" s="116">
        <v>9.9981500000000008</v>
      </c>
      <c r="D8" s="117">
        <v>10</v>
      </c>
      <c r="E8" s="118" t="str">
        <f t="shared" si="0"/>
        <v>X</v>
      </c>
      <c r="F8" s="119" t="str">
        <f t="shared" si="1"/>
        <v/>
      </c>
      <c r="G8" s="116">
        <v>5.99</v>
      </c>
      <c r="H8" s="117">
        <v>5.99</v>
      </c>
      <c r="I8" s="118" t="str">
        <f t="shared" si="2"/>
        <v>X</v>
      </c>
      <c r="J8" s="119" t="str">
        <f t="shared" si="3"/>
        <v/>
      </c>
      <c r="K8" s="116">
        <v>6.0010000000000003</v>
      </c>
      <c r="L8" s="117">
        <v>5.9989999999999997</v>
      </c>
      <c r="M8" s="118" t="str">
        <f t="shared" si="4"/>
        <v>X</v>
      </c>
      <c r="N8" s="119" t="str">
        <f t="shared" si="5"/>
        <v/>
      </c>
      <c r="O8" s="116">
        <v>5.99</v>
      </c>
      <c r="P8" s="117">
        <v>5.99</v>
      </c>
      <c r="Q8" s="118" t="str">
        <f t="shared" si="6"/>
        <v>X</v>
      </c>
      <c r="R8" s="119" t="str">
        <f t="shared" si="7"/>
        <v/>
      </c>
    </row>
    <row r="9" spans="1:18" x14ac:dyDescent="0.25">
      <c r="A9" s="110">
        <v>15</v>
      </c>
      <c r="B9" s="111">
        <v>5.0000000000000001E-4</v>
      </c>
      <c r="C9" s="116">
        <v>14.99592</v>
      </c>
      <c r="D9" s="117">
        <v>15</v>
      </c>
      <c r="E9" s="118" t="str">
        <f t="shared" si="0"/>
        <v>X</v>
      </c>
      <c r="F9" s="119" t="str">
        <f t="shared" si="1"/>
        <v/>
      </c>
      <c r="G9" s="116">
        <v>10.000999999999999</v>
      </c>
      <c r="H9" s="117">
        <v>10</v>
      </c>
      <c r="I9" s="118" t="str">
        <f t="shared" si="2"/>
        <v>X</v>
      </c>
      <c r="J9" s="119" t="str">
        <f t="shared" si="3"/>
        <v/>
      </c>
      <c r="K9" s="116">
        <v>10.000999999999999</v>
      </c>
      <c r="L9" s="117">
        <v>10</v>
      </c>
      <c r="M9" s="118" t="str">
        <f t="shared" si="4"/>
        <v>X</v>
      </c>
      <c r="N9" s="119" t="str">
        <f t="shared" si="5"/>
        <v/>
      </c>
      <c r="O9" s="116">
        <v>10.000999999999999</v>
      </c>
      <c r="P9" s="117">
        <v>10</v>
      </c>
      <c r="Q9" s="118" t="str">
        <f t="shared" si="6"/>
        <v>X</v>
      </c>
      <c r="R9" s="119" t="str">
        <f t="shared" si="7"/>
        <v/>
      </c>
    </row>
    <row r="10" spans="1:18" x14ac:dyDescent="0.25">
      <c r="A10" s="110">
        <v>20</v>
      </c>
      <c r="B10" s="111">
        <v>5.0000000000000001E-4</v>
      </c>
      <c r="C10" s="58">
        <v>19.996220000000001</v>
      </c>
      <c r="D10" s="117">
        <v>20</v>
      </c>
      <c r="E10" s="118" t="str">
        <f t="shared" si="0"/>
        <v>X</v>
      </c>
      <c r="F10" s="58" t="str">
        <f t="shared" si="1"/>
        <v/>
      </c>
      <c r="G10" s="58"/>
      <c r="H10" s="58"/>
      <c r="I10" s="58"/>
      <c r="J10" s="58"/>
      <c r="K10" s="58"/>
      <c r="L10" s="58"/>
      <c r="M10" s="58"/>
      <c r="N10" s="58"/>
      <c r="O10" s="58"/>
      <c r="P10" s="58"/>
      <c r="Q10" s="58"/>
      <c r="R10" s="58"/>
    </row>
    <row r="11" spans="1:18" ht="16.5" customHeight="1" x14ac:dyDescent="0.35">
      <c r="A11" s="303" t="s">
        <v>50</v>
      </c>
      <c r="B11" s="303"/>
      <c r="C11" s="303"/>
      <c r="D11" s="303"/>
      <c r="E11" s="303"/>
      <c r="F11" s="303"/>
      <c r="G11" s="303"/>
      <c r="H11" s="303"/>
      <c r="I11" s="303"/>
      <c r="J11" s="303"/>
      <c r="K11" s="303"/>
      <c r="L11" s="303"/>
      <c r="M11" s="303"/>
      <c r="N11" s="303"/>
      <c r="O11" s="303"/>
      <c r="P11" s="303"/>
      <c r="Q11" s="303"/>
      <c r="R11" s="303"/>
    </row>
    <row r="12" spans="1:18" x14ac:dyDescent="0.25">
      <c r="A12" s="304" t="s">
        <v>39</v>
      </c>
      <c r="B12" s="304" t="s">
        <v>20</v>
      </c>
      <c r="C12" s="304" t="s">
        <v>33</v>
      </c>
      <c r="D12" s="304"/>
      <c r="E12" s="304"/>
      <c r="F12" s="304"/>
      <c r="G12" s="304" t="s">
        <v>34</v>
      </c>
      <c r="H12" s="304"/>
      <c r="I12" s="304"/>
      <c r="J12" s="304"/>
      <c r="K12" s="304" t="s">
        <v>35</v>
      </c>
      <c r="L12" s="304"/>
      <c r="M12" s="304"/>
      <c r="N12" s="304"/>
      <c r="O12" s="304" t="s">
        <v>36</v>
      </c>
      <c r="P12" s="304"/>
      <c r="Q12" s="304"/>
      <c r="R12" s="304"/>
    </row>
    <row r="13" spans="1:18" x14ac:dyDescent="0.25">
      <c r="A13" s="304"/>
      <c r="B13" s="304"/>
      <c r="C13" s="305" t="s">
        <v>41</v>
      </c>
      <c r="D13" s="305" t="s">
        <v>40</v>
      </c>
      <c r="E13" s="305" t="s">
        <v>0</v>
      </c>
      <c r="F13" s="305" t="s">
        <v>1</v>
      </c>
      <c r="G13" s="305" t="s">
        <v>41</v>
      </c>
      <c r="H13" s="305" t="s">
        <v>40</v>
      </c>
      <c r="I13" s="305" t="s">
        <v>0</v>
      </c>
      <c r="J13" s="305" t="s">
        <v>1</v>
      </c>
      <c r="K13" s="305" t="s">
        <v>41</v>
      </c>
      <c r="L13" s="305" t="s">
        <v>40</v>
      </c>
      <c r="M13" s="305" t="s">
        <v>0</v>
      </c>
      <c r="N13" s="305" t="s">
        <v>1</v>
      </c>
      <c r="O13" s="305" t="s">
        <v>41</v>
      </c>
      <c r="P13" s="305" t="s">
        <v>40</v>
      </c>
      <c r="Q13" s="305" t="s">
        <v>0</v>
      </c>
      <c r="R13" s="305" t="s">
        <v>1</v>
      </c>
    </row>
    <row r="14" spans="1:18" ht="13" thickBot="1" x14ac:dyDescent="0.3">
      <c r="A14" s="304"/>
      <c r="B14" s="304"/>
      <c r="C14" s="305"/>
      <c r="D14" s="305"/>
      <c r="E14" s="305"/>
      <c r="F14" s="305"/>
      <c r="G14" s="305"/>
      <c r="H14" s="305"/>
      <c r="I14" s="305"/>
      <c r="J14" s="305"/>
      <c r="K14" s="305"/>
      <c r="L14" s="305"/>
      <c r="M14" s="305"/>
      <c r="N14" s="305"/>
      <c r="O14" s="305"/>
      <c r="P14" s="305"/>
      <c r="Q14" s="305"/>
      <c r="R14" s="305"/>
    </row>
    <row r="15" spans="1:18" ht="16.5" customHeight="1" thickBot="1" x14ac:dyDescent="0.3">
      <c r="A15" s="110">
        <v>10</v>
      </c>
      <c r="B15" s="111">
        <v>5.0000000000000001E-4</v>
      </c>
      <c r="C15" s="112">
        <v>9.9990000000000006</v>
      </c>
      <c r="D15" s="113">
        <v>10</v>
      </c>
      <c r="E15" s="114" t="str">
        <f t="shared" ref="E15:E19" si="8">IF(C15&lt;&gt;"",IF(AND(C15&gt;=(D15-(D15*$B15)),C15&lt;=(D15+(D15*$B15))),"X",""),"")</f>
        <v>X</v>
      </c>
      <c r="F15" s="115" t="str">
        <f t="shared" ref="F15:F19" si="9">IF(NOT(E15="X"),"X","")</f>
        <v/>
      </c>
      <c r="G15" s="112">
        <v>9.9979999999999993</v>
      </c>
      <c r="H15" s="113">
        <v>10</v>
      </c>
      <c r="I15" s="114" t="str">
        <f t="shared" ref="I15:I19" si="10">IF(G15&lt;&gt;"",IF(AND(G15&gt;=(H15-(H15*$B15)),G15&lt;=(H15+(H15*$B15))),"X",""),"")</f>
        <v>X</v>
      </c>
      <c r="J15" s="115" t="str">
        <f t="shared" ref="J15:J19" si="11">IF(NOT(I15="X"),"X","")</f>
        <v/>
      </c>
      <c r="K15" s="112">
        <v>9.9990000000000006</v>
      </c>
      <c r="L15" s="113">
        <v>10</v>
      </c>
      <c r="M15" s="114" t="str">
        <f t="shared" ref="M15:M19" si="12">IF(K15&lt;&gt;"",IF(AND(K15&gt;=(L15-(L15*$B15)),K15&lt;=(L15+(L15*$B15))),"X",""),"")</f>
        <v>X</v>
      </c>
      <c r="N15" s="115" t="str">
        <f t="shared" ref="N15:N19" si="13">IF(NOT(M15="X"),"X","")</f>
        <v/>
      </c>
      <c r="O15" s="112">
        <v>10</v>
      </c>
      <c r="P15" s="113">
        <v>10</v>
      </c>
      <c r="Q15" s="114" t="str">
        <f t="shared" ref="Q15:Q19" si="14">IF(O15&lt;&gt;"",IF(AND(O15&gt;=(P15-(P15*$B15)),O15&lt;=(P15+(P15*$B15))),"X",""),"")</f>
        <v>X</v>
      </c>
      <c r="R15" s="115" t="str">
        <f t="shared" ref="R15:R19" si="15">IF(NOT(Q15="X"),"X","")</f>
        <v/>
      </c>
    </row>
    <row r="16" spans="1:18" ht="13.5" customHeight="1" thickBot="1" x14ac:dyDescent="0.3">
      <c r="A16" s="110">
        <v>6</v>
      </c>
      <c r="B16" s="111">
        <v>5.0000000000000001E-4</v>
      </c>
      <c r="C16" s="116">
        <v>6.0010000000000003</v>
      </c>
      <c r="D16" s="117">
        <v>6</v>
      </c>
      <c r="E16" s="114" t="str">
        <f t="shared" si="8"/>
        <v>X</v>
      </c>
      <c r="F16" s="115" t="str">
        <f t="shared" si="9"/>
        <v/>
      </c>
      <c r="G16" s="116">
        <v>6</v>
      </c>
      <c r="H16" s="117">
        <v>6</v>
      </c>
      <c r="I16" s="118" t="str">
        <f t="shared" si="10"/>
        <v>X</v>
      </c>
      <c r="J16" s="119" t="str">
        <f t="shared" si="11"/>
        <v/>
      </c>
      <c r="K16" s="116">
        <v>6</v>
      </c>
      <c r="L16" s="117">
        <v>6</v>
      </c>
      <c r="M16" s="118" t="str">
        <f t="shared" si="12"/>
        <v>X</v>
      </c>
      <c r="N16" s="119" t="str">
        <f t="shared" si="13"/>
        <v/>
      </c>
      <c r="O16" s="116">
        <v>6</v>
      </c>
      <c r="P16" s="117">
        <v>6</v>
      </c>
      <c r="Q16" s="118" t="str">
        <f t="shared" si="14"/>
        <v>X</v>
      </c>
      <c r="R16" s="119" t="str">
        <f t="shared" si="15"/>
        <v/>
      </c>
    </row>
    <row r="17" spans="1:18" ht="12.75" customHeight="1" thickBot="1" x14ac:dyDescent="0.3">
      <c r="A17" s="110">
        <v>5</v>
      </c>
      <c r="B17" s="111">
        <v>5.0000000000000001E-4</v>
      </c>
      <c r="C17" s="116">
        <v>5.0010000000000003</v>
      </c>
      <c r="D17" s="117">
        <v>5</v>
      </c>
      <c r="E17" s="114" t="str">
        <f t="shared" si="8"/>
        <v>X</v>
      </c>
      <c r="F17" s="115" t="str">
        <f t="shared" si="9"/>
        <v/>
      </c>
      <c r="G17" s="116">
        <v>5</v>
      </c>
      <c r="H17" s="117">
        <v>5</v>
      </c>
      <c r="I17" s="118" t="str">
        <f t="shared" si="10"/>
        <v>X</v>
      </c>
      <c r="J17" s="119" t="str">
        <f t="shared" si="11"/>
        <v/>
      </c>
      <c r="K17" s="116">
        <v>5</v>
      </c>
      <c r="L17" s="117">
        <v>5</v>
      </c>
      <c r="M17" s="118" t="str">
        <f t="shared" si="12"/>
        <v>X</v>
      </c>
      <c r="N17" s="119" t="str">
        <f t="shared" si="13"/>
        <v/>
      </c>
      <c r="O17" s="116">
        <v>5.0010000000000003</v>
      </c>
      <c r="P17" s="117">
        <v>5</v>
      </c>
      <c r="Q17" s="118" t="str">
        <f t="shared" si="14"/>
        <v>X</v>
      </c>
      <c r="R17" s="119" t="str">
        <f t="shared" si="15"/>
        <v/>
      </c>
    </row>
    <row r="18" spans="1:18" ht="13" thickBot="1" x14ac:dyDescent="0.3">
      <c r="A18" s="110">
        <v>4</v>
      </c>
      <c r="B18" s="111">
        <v>5.0000000000000001E-4</v>
      </c>
      <c r="C18" s="116">
        <v>4</v>
      </c>
      <c r="D18" s="117">
        <v>4</v>
      </c>
      <c r="E18" s="114" t="str">
        <f t="shared" si="8"/>
        <v>X</v>
      </c>
      <c r="F18" s="115" t="str">
        <f t="shared" si="9"/>
        <v/>
      </c>
      <c r="G18" s="116">
        <v>4</v>
      </c>
      <c r="H18" s="117">
        <v>4</v>
      </c>
      <c r="I18" s="118" t="str">
        <f t="shared" si="10"/>
        <v>X</v>
      </c>
      <c r="J18" s="119" t="str">
        <f t="shared" si="11"/>
        <v/>
      </c>
      <c r="K18" s="116">
        <v>4</v>
      </c>
      <c r="L18" s="117">
        <v>4</v>
      </c>
      <c r="M18" s="118" t="str">
        <f t="shared" si="12"/>
        <v>X</v>
      </c>
      <c r="N18" s="119" t="str">
        <f t="shared" si="13"/>
        <v/>
      </c>
      <c r="O18" s="116">
        <v>4.0010000000000003</v>
      </c>
      <c r="P18" s="117">
        <v>4</v>
      </c>
      <c r="Q18" s="118" t="str">
        <f t="shared" si="14"/>
        <v>X</v>
      </c>
      <c r="R18" s="119" t="str">
        <f t="shared" si="15"/>
        <v/>
      </c>
    </row>
    <row r="19" spans="1:18" x14ac:dyDescent="0.25">
      <c r="A19" s="110">
        <v>0</v>
      </c>
      <c r="B19" s="111">
        <v>5.0000000000000001E-4</v>
      </c>
      <c r="C19" s="112">
        <v>0</v>
      </c>
      <c r="D19" s="113">
        <v>0</v>
      </c>
      <c r="E19" s="114" t="str">
        <f t="shared" si="8"/>
        <v>X</v>
      </c>
      <c r="F19" s="115" t="str">
        <f t="shared" si="9"/>
        <v/>
      </c>
      <c r="G19" s="112">
        <v>0</v>
      </c>
      <c r="H19" s="113">
        <v>0</v>
      </c>
      <c r="I19" s="118" t="str">
        <f t="shared" si="10"/>
        <v>X</v>
      </c>
      <c r="J19" s="119" t="str">
        <f t="shared" si="11"/>
        <v/>
      </c>
      <c r="K19" s="112">
        <v>0</v>
      </c>
      <c r="L19" s="113">
        <v>0</v>
      </c>
      <c r="M19" s="118" t="str">
        <f t="shared" si="12"/>
        <v>X</v>
      </c>
      <c r="N19" s="119" t="str">
        <f t="shared" si="13"/>
        <v/>
      </c>
      <c r="O19" s="112">
        <v>0</v>
      </c>
      <c r="P19" s="113">
        <v>0</v>
      </c>
      <c r="Q19" s="118" t="str">
        <f t="shared" si="14"/>
        <v>X</v>
      </c>
      <c r="R19" s="119" t="str">
        <f t="shared" si="15"/>
        <v/>
      </c>
    </row>
    <row r="20" spans="1:18" x14ac:dyDescent="0.25">
      <c r="A20" s="58"/>
      <c r="B20" s="58"/>
      <c r="C20" s="58"/>
      <c r="D20" s="58"/>
      <c r="E20" s="58"/>
      <c r="F20" s="58"/>
      <c r="G20" s="58"/>
      <c r="H20" s="58"/>
      <c r="I20" s="58"/>
      <c r="J20" s="58"/>
      <c r="K20" s="58"/>
      <c r="L20" s="58"/>
      <c r="M20" s="58"/>
      <c r="N20" s="58"/>
      <c r="O20" s="58"/>
      <c r="P20" s="58"/>
      <c r="Q20" s="58"/>
      <c r="R20" s="58"/>
    </row>
    <row r="21" spans="1:18" ht="16.5" customHeight="1" x14ac:dyDescent="0.35">
      <c r="A21" s="303" t="s">
        <v>51</v>
      </c>
      <c r="B21" s="303"/>
      <c r="C21" s="303"/>
      <c r="D21" s="303"/>
      <c r="E21" s="303"/>
      <c r="F21" s="303"/>
      <c r="G21" s="303"/>
      <c r="H21" s="303"/>
      <c r="I21" s="303"/>
      <c r="J21" s="303"/>
      <c r="K21" s="303"/>
      <c r="L21" s="303"/>
      <c r="M21" s="303"/>
      <c r="N21" s="303"/>
      <c r="O21" s="303"/>
      <c r="P21" s="303"/>
      <c r="Q21" s="303"/>
      <c r="R21" s="303"/>
    </row>
    <row r="22" spans="1:18" x14ac:dyDescent="0.25">
      <c r="A22" s="304" t="s">
        <v>39</v>
      </c>
      <c r="B22" s="304" t="s">
        <v>20</v>
      </c>
      <c r="C22" s="304" t="s">
        <v>33</v>
      </c>
      <c r="D22" s="304"/>
      <c r="E22" s="304"/>
      <c r="F22" s="304"/>
      <c r="G22" s="304" t="s">
        <v>34</v>
      </c>
      <c r="H22" s="304"/>
      <c r="I22" s="304"/>
      <c r="J22" s="304"/>
      <c r="K22" s="304" t="s">
        <v>35</v>
      </c>
      <c r="L22" s="304"/>
      <c r="M22" s="304"/>
      <c r="N22" s="304"/>
      <c r="O22" s="304" t="s">
        <v>36</v>
      </c>
      <c r="P22" s="304"/>
      <c r="Q22" s="304"/>
      <c r="R22" s="304"/>
    </row>
    <row r="23" spans="1:18" x14ac:dyDescent="0.25">
      <c r="A23" s="304"/>
      <c r="B23" s="304"/>
      <c r="C23" s="305" t="s">
        <v>41</v>
      </c>
      <c r="D23" s="305" t="s">
        <v>40</v>
      </c>
      <c r="E23" s="305" t="s">
        <v>0</v>
      </c>
      <c r="F23" s="305" t="s">
        <v>1</v>
      </c>
      <c r="G23" s="305" t="s">
        <v>41</v>
      </c>
      <c r="H23" s="305" t="s">
        <v>40</v>
      </c>
      <c r="I23" s="305" t="s">
        <v>0</v>
      </c>
      <c r="J23" s="305" t="s">
        <v>1</v>
      </c>
      <c r="K23" s="305" t="s">
        <v>41</v>
      </c>
      <c r="L23" s="305" t="s">
        <v>40</v>
      </c>
      <c r="M23" s="305" t="s">
        <v>0</v>
      </c>
      <c r="N23" s="305" t="s">
        <v>1</v>
      </c>
      <c r="O23" s="305" t="s">
        <v>41</v>
      </c>
      <c r="P23" s="305" t="s">
        <v>40</v>
      </c>
      <c r="Q23" s="305" t="s">
        <v>0</v>
      </c>
      <c r="R23" s="305" t="s">
        <v>1</v>
      </c>
    </row>
    <row r="24" spans="1:18" ht="13" thickBot="1" x14ac:dyDescent="0.3">
      <c r="A24" s="304"/>
      <c r="B24" s="304"/>
      <c r="C24" s="305"/>
      <c r="D24" s="305"/>
      <c r="E24" s="305"/>
      <c r="F24" s="305"/>
      <c r="G24" s="305"/>
      <c r="H24" s="305"/>
      <c r="I24" s="305"/>
      <c r="J24" s="305"/>
      <c r="K24" s="305"/>
      <c r="L24" s="305"/>
      <c r="M24" s="305"/>
      <c r="N24" s="305"/>
      <c r="O24" s="305"/>
      <c r="P24" s="305"/>
      <c r="Q24" s="305"/>
      <c r="R24" s="305"/>
    </row>
    <row r="25" spans="1:18" ht="16.5" customHeight="1" x14ac:dyDescent="0.25">
      <c r="A25" s="110">
        <v>9</v>
      </c>
      <c r="B25" s="111">
        <v>5.0000000000000001E-4</v>
      </c>
      <c r="C25" s="112">
        <v>9</v>
      </c>
      <c r="D25" s="113">
        <v>9</v>
      </c>
      <c r="E25" s="114" t="str">
        <f t="shared" ref="E25:E28" si="16">IF(C25&lt;&gt;"",IF(AND(C25&gt;=(D25-(D25*$B25)),C25&lt;=(D25+(D25*$B25))),"X",""),"")</f>
        <v>X</v>
      </c>
      <c r="F25" s="115" t="str">
        <f t="shared" ref="F25:F28" si="17">IF(NOT(E25="X"),"X","")</f>
        <v/>
      </c>
      <c r="G25" s="112">
        <v>9</v>
      </c>
      <c r="H25" s="113">
        <v>9</v>
      </c>
      <c r="I25" s="114" t="str">
        <f t="shared" ref="I25:I28" si="18">IF(G25&lt;&gt;"",IF(AND(G25&gt;=(H25-(H25*$B25)),G25&lt;=(H25+(H25*$B25))),"X",""),"")</f>
        <v>X</v>
      </c>
      <c r="J25" s="115" t="str">
        <f t="shared" ref="J25:J28" si="19">IF(NOT(I25="X"),"X","")</f>
        <v/>
      </c>
      <c r="K25" s="112">
        <v>9</v>
      </c>
      <c r="L25" s="113">
        <v>9</v>
      </c>
      <c r="M25" s="114" t="str">
        <f t="shared" ref="M25:M28" si="20">IF(K25&lt;&gt;"",IF(AND(K25&gt;=(L25-(L25*$B25)),K25&lt;=(L25+(L25*$B25))),"X",""),"")</f>
        <v>X</v>
      </c>
      <c r="N25" s="115" t="str">
        <f t="shared" ref="N25:N28" si="21">IF(NOT(M25="X"),"X","")</f>
        <v/>
      </c>
      <c r="O25" s="112">
        <v>9</v>
      </c>
      <c r="P25" s="113">
        <v>9</v>
      </c>
      <c r="Q25" s="114" t="str">
        <f t="shared" ref="Q25:Q28" si="22">IF(O25&lt;&gt;"",IF(AND(O25&gt;=(P25-(P25*$B25)),O25&lt;=(P25+(P25*$B25))),"X",""),"")</f>
        <v>X</v>
      </c>
      <c r="R25" s="115" t="str">
        <f t="shared" ref="R25:R28" si="23">IF(NOT(Q25="X"),"X","")</f>
        <v/>
      </c>
    </row>
    <row r="26" spans="1:18" ht="13.5" customHeight="1" x14ac:dyDescent="0.25">
      <c r="A26" s="110">
        <v>7</v>
      </c>
      <c r="B26" s="111">
        <v>5.0000000000000001E-4</v>
      </c>
      <c r="C26" s="116">
        <v>6.9989999999999997</v>
      </c>
      <c r="D26" s="117">
        <v>7</v>
      </c>
      <c r="E26" s="118" t="str">
        <f>IF(C26&lt;&gt;"",IF(AND(C26&gt;=(D26-(D26*$B26)),C26&lt;=(D26+(D26*$B26))),"X",""),"")</f>
        <v>X</v>
      </c>
      <c r="F26" s="119" t="str">
        <f t="shared" si="17"/>
        <v/>
      </c>
      <c r="G26" s="116">
        <v>7.0010000000000003</v>
      </c>
      <c r="H26" s="117">
        <v>7</v>
      </c>
      <c r="I26" s="118" t="str">
        <f t="shared" si="18"/>
        <v>X</v>
      </c>
      <c r="J26" s="119" t="str">
        <f t="shared" si="19"/>
        <v/>
      </c>
      <c r="K26" s="116">
        <v>6.9969999999999999</v>
      </c>
      <c r="L26" s="117">
        <v>7</v>
      </c>
      <c r="M26" s="118" t="str">
        <f t="shared" si="20"/>
        <v>X</v>
      </c>
      <c r="N26" s="119" t="str">
        <f t="shared" si="21"/>
        <v/>
      </c>
      <c r="O26" s="116">
        <v>6.9980000000000002</v>
      </c>
      <c r="P26" s="117">
        <v>7</v>
      </c>
      <c r="Q26" s="118" t="str">
        <f t="shared" si="22"/>
        <v>X</v>
      </c>
      <c r="R26" s="119" t="str">
        <f t="shared" si="23"/>
        <v/>
      </c>
    </row>
    <row r="27" spans="1:18" ht="12.75" customHeight="1" x14ac:dyDescent="0.25">
      <c r="A27" s="110">
        <v>6</v>
      </c>
      <c r="B27" s="111">
        <v>5.0000000000000001E-4</v>
      </c>
      <c r="C27" s="116">
        <v>5.9989999999999997</v>
      </c>
      <c r="D27" s="117">
        <v>6</v>
      </c>
      <c r="E27" s="118" t="str">
        <f t="shared" si="16"/>
        <v>X</v>
      </c>
      <c r="F27" s="119" t="str">
        <f t="shared" si="17"/>
        <v/>
      </c>
      <c r="G27" s="116">
        <v>6.0010000000000003</v>
      </c>
      <c r="H27" s="117">
        <v>6</v>
      </c>
      <c r="I27" s="118" t="str">
        <f t="shared" si="18"/>
        <v>X</v>
      </c>
      <c r="J27" s="119" t="str">
        <f t="shared" si="19"/>
        <v/>
      </c>
      <c r="K27" s="116">
        <v>6</v>
      </c>
      <c r="L27" s="117">
        <v>6</v>
      </c>
      <c r="M27" s="118" t="str">
        <f t="shared" si="20"/>
        <v>X</v>
      </c>
      <c r="N27" s="119" t="str">
        <f t="shared" si="21"/>
        <v/>
      </c>
      <c r="O27" s="116">
        <v>5.9969999999999999</v>
      </c>
      <c r="P27" s="117">
        <v>6</v>
      </c>
      <c r="Q27" s="118" t="str">
        <f t="shared" si="22"/>
        <v>X</v>
      </c>
      <c r="R27" s="119" t="str">
        <f t="shared" si="23"/>
        <v/>
      </c>
    </row>
    <row r="28" spans="1:18" x14ac:dyDescent="0.25">
      <c r="A28" s="110">
        <v>5</v>
      </c>
      <c r="B28" s="111">
        <v>5.0000000000000001E-4</v>
      </c>
      <c r="C28" s="116">
        <v>5.0010000000000003</v>
      </c>
      <c r="D28" s="117">
        <v>5</v>
      </c>
      <c r="E28" s="118" t="str">
        <f t="shared" si="16"/>
        <v>X</v>
      </c>
      <c r="F28" s="119" t="str">
        <f t="shared" si="17"/>
        <v/>
      </c>
      <c r="G28" s="116">
        <v>5</v>
      </c>
      <c r="H28" s="117">
        <v>5</v>
      </c>
      <c r="I28" s="118" t="str">
        <f t="shared" si="18"/>
        <v>X</v>
      </c>
      <c r="J28" s="119" t="str">
        <f t="shared" si="19"/>
        <v/>
      </c>
      <c r="K28" s="116">
        <v>5.0019999999999998</v>
      </c>
      <c r="L28" s="117">
        <v>5</v>
      </c>
      <c r="M28" s="118" t="str">
        <f t="shared" si="20"/>
        <v>X</v>
      </c>
      <c r="N28" s="119" t="str">
        <f t="shared" si="21"/>
        <v/>
      </c>
      <c r="O28" s="116">
        <v>5</v>
      </c>
      <c r="P28" s="117">
        <v>5</v>
      </c>
      <c r="Q28" s="118" t="str">
        <f t="shared" si="22"/>
        <v>X</v>
      </c>
      <c r="R28" s="119" t="str">
        <f t="shared" si="23"/>
        <v/>
      </c>
    </row>
    <row r="29" spans="1:18" x14ac:dyDescent="0.25">
      <c r="A29" s="58"/>
      <c r="B29" s="58"/>
      <c r="C29" s="58"/>
      <c r="D29" s="58"/>
      <c r="E29" s="58"/>
      <c r="F29" s="58"/>
      <c r="G29" s="58"/>
      <c r="H29" s="58"/>
      <c r="I29" s="58"/>
      <c r="J29" s="58"/>
      <c r="K29" s="58"/>
      <c r="L29" s="58"/>
      <c r="M29" s="58"/>
      <c r="N29" s="58"/>
      <c r="O29" s="58"/>
      <c r="P29" s="58"/>
      <c r="Q29" s="58"/>
      <c r="R29" s="58"/>
    </row>
    <row r="30" spans="1:18" x14ac:dyDescent="0.25">
      <c r="A30" s="58"/>
      <c r="B30" s="58"/>
      <c r="C30" s="58"/>
      <c r="D30" s="58"/>
      <c r="E30" s="58"/>
      <c r="F30" s="58"/>
      <c r="G30" s="58"/>
      <c r="H30" s="58"/>
      <c r="I30" s="58"/>
      <c r="J30" s="58"/>
      <c r="K30" s="58"/>
      <c r="L30" s="58"/>
      <c r="M30" s="58"/>
      <c r="N30" s="58"/>
      <c r="O30" s="58"/>
      <c r="P30" s="58"/>
      <c r="Q30" s="58"/>
      <c r="R30" s="58"/>
    </row>
    <row r="31" spans="1:18" ht="16.5" customHeight="1" x14ac:dyDescent="0.35">
      <c r="A31" s="303" t="s">
        <v>52</v>
      </c>
      <c r="B31" s="303"/>
      <c r="C31" s="303"/>
      <c r="D31" s="303"/>
      <c r="E31" s="303"/>
      <c r="F31" s="303"/>
      <c r="G31" s="303"/>
      <c r="H31" s="303"/>
      <c r="I31" s="303"/>
      <c r="J31" s="303"/>
      <c r="K31" s="303"/>
      <c r="L31" s="303"/>
      <c r="M31" s="303"/>
      <c r="N31" s="303"/>
      <c r="O31" s="303"/>
      <c r="P31" s="303"/>
      <c r="Q31" s="303"/>
      <c r="R31" s="303"/>
    </row>
    <row r="32" spans="1:18" x14ac:dyDescent="0.25">
      <c r="A32" s="304" t="s">
        <v>39</v>
      </c>
      <c r="B32" s="304" t="s">
        <v>20</v>
      </c>
      <c r="C32" s="304" t="s">
        <v>33</v>
      </c>
      <c r="D32" s="304"/>
      <c r="E32" s="304"/>
      <c r="F32" s="304"/>
      <c r="G32" s="304" t="s">
        <v>34</v>
      </c>
      <c r="H32" s="304"/>
      <c r="I32" s="304"/>
      <c r="J32" s="304"/>
      <c r="K32" s="304" t="s">
        <v>35</v>
      </c>
      <c r="L32" s="304"/>
      <c r="M32" s="304"/>
      <c r="N32" s="304"/>
      <c r="O32" s="304" t="s">
        <v>36</v>
      </c>
      <c r="P32" s="304"/>
      <c r="Q32" s="304"/>
      <c r="R32" s="304"/>
    </row>
    <row r="33" spans="1:18" x14ac:dyDescent="0.25">
      <c r="A33" s="304"/>
      <c r="B33" s="304"/>
      <c r="C33" s="305" t="s">
        <v>41</v>
      </c>
      <c r="D33" s="305" t="s">
        <v>40</v>
      </c>
      <c r="E33" s="305" t="s">
        <v>0</v>
      </c>
      <c r="F33" s="305" t="s">
        <v>1</v>
      </c>
      <c r="G33" s="305" t="s">
        <v>41</v>
      </c>
      <c r="H33" s="305" t="s">
        <v>40</v>
      </c>
      <c r="I33" s="305" t="s">
        <v>0</v>
      </c>
      <c r="J33" s="305" t="s">
        <v>1</v>
      </c>
      <c r="K33" s="305" t="s">
        <v>41</v>
      </c>
      <c r="L33" s="305" t="s">
        <v>40</v>
      </c>
      <c r="M33" s="305" t="s">
        <v>0</v>
      </c>
      <c r="N33" s="305" t="s">
        <v>1</v>
      </c>
      <c r="O33" s="305" t="s">
        <v>41</v>
      </c>
      <c r="P33" s="305" t="s">
        <v>40</v>
      </c>
      <c r="Q33" s="305" t="s">
        <v>0</v>
      </c>
      <c r="R33" s="305" t="s">
        <v>1</v>
      </c>
    </row>
    <row r="34" spans="1:18" ht="13" thickBot="1" x14ac:dyDescent="0.3">
      <c r="A34" s="304"/>
      <c r="B34" s="304"/>
      <c r="C34" s="305"/>
      <c r="D34" s="305"/>
      <c r="E34" s="305"/>
      <c r="F34" s="305"/>
      <c r="G34" s="305"/>
      <c r="H34" s="305"/>
      <c r="I34" s="305"/>
      <c r="J34" s="305"/>
      <c r="K34" s="305"/>
      <c r="L34" s="305"/>
      <c r="M34" s="305"/>
      <c r="N34" s="305"/>
      <c r="O34" s="305"/>
      <c r="P34" s="305"/>
      <c r="Q34" s="305"/>
      <c r="R34" s="305"/>
    </row>
    <row r="35" spans="1:18" ht="16.5" customHeight="1" x14ac:dyDescent="0.25">
      <c r="A35" s="110">
        <v>9</v>
      </c>
      <c r="B35" s="111">
        <v>5.0000000000000001E-4</v>
      </c>
      <c r="C35" s="131">
        <v>9</v>
      </c>
      <c r="D35" s="110">
        <v>9</v>
      </c>
      <c r="E35" s="114" t="str">
        <f t="shared" ref="E35" si="24">IF(C35&lt;&gt;"",IF(AND(C35&gt;=(D35-(D35*$B35)),C35&lt;=(D35+(D35*$B35))),"X",""),"")</f>
        <v>X</v>
      </c>
      <c r="F35" s="115" t="str">
        <f t="shared" ref="F35:F38" si="25">IF(NOT(E35="X"),"X","")</f>
        <v/>
      </c>
      <c r="G35" s="131">
        <v>8.9990000000000006</v>
      </c>
      <c r="H35" s="110">
        <v>9</v>
      </c>
      <c r="I35" s="114" t="str">
        <f t="shared" ref="I35:I38" si="26">IF(G35&lt;&gt;"",IF(AND(G35&gt;=(H35-(H35*$B35)),G35&lt;=(H35+(H35*$B35))),"X",""),"")</f>
        <v>X</v>
      </c>
      <c r="J35" s="115" t="str">
        <f t="shared" ref="J35:J38" si="27">IF(NOT(I35="X"),"X","")</f>
        <v/>
      </c>
      <c r="K35" s="131">
        <v>9</v>
      </c>
      <c r="L35" s="110">
        <v>9</v>
      </c>
      <c r="M35" s="114" t="str">
        <f t="shared" ref="M35:M38" si="28">IF(K35&lt;&gt;"",IF(AND(K35&gt;=(L35-(L35*$B35)),K35&lt;=(L35+(L35*$B35))),"X",""),"")</f>
        <v>X</v>
      </c>
      <c r="N35" s="115" t="str">
        <f t="shared" ref="N35:N38" si="29">IF(NOT(M35="X"),"X","")</f>
        <v/>
      </c>
      <c r="O35" s="131">
        <v>9</v>
      </c>
      <c r="P35" s="110">
        <v>9</v>
      </c>
      <c r="Q35" s="114" t="str">
        <f t="shared" ref="Q35:Q38" si="30">IF(O35&lt;&gt;"",IF(AND(O35&gt;=(P35-(P35*$B35)),O35&lt;=(P35+(P35*$B35))),"X",""),"")</f>
        <v>X</v>
      </c>
      <c r="R35" s="115" t="str">
        <f t="shared" ref="R35:R38" si="31">IF(NOT(Q35="X"),"X","")</f>
        <v/>
      </c>
    </row>
    <row r="36" spans="1:18" ht="13.5" customHeight="1" x14ac:dyDescent="0.25">
      <c r="A36" s="110">
        <v>7</v>
      </c>
      <c r="B36" s="111">
        <v>5.0000000000000001E-4</v>
      </c>
      <c r="C36" s="131">
        <v>7</v>
      </c>
      <c r="D36" s="110">
        <v>7</v>
      </c>
      <c r="E36" s="118" t="str">
        <f>IF(C36&lt;&gt;"",IF(AND(C36&gt;=(D36-(D36*$B36)),C36&lt;=(D36+(D36*$B36))),"X",""),"")</f>
        <v>X</v>
      </c>
      <c r="F36" s="119" t="str">
        <f t="shared" si="25"/>
        <v/>
      </c>
      <c r="G36" s="131">
        <v>6.9989999999999997</v>
      </c>
      <c r="H36" s="110">
        <v>7</v>
      </c>
      <c r="I36" s="118" t="str">
        <f t="shared" si="26"/>
        <v>X</v>
      </c>
      <c r="J36" s="119" t="str">
        <f t="shared" si="27"/>
        <v/>
      </c>
      <c r="K36" s="131">
        <v>6.9980000000000002</v>
      </c>
      <c r="L36" s="110">
        <v>7</v>
      </c>
      <c r="M36" s="118" t="str">
        <f t="shared" si="28"/>
        <v>X</v>
      </c>
      <c r="N36" s="119" t="str">
        <f t="shared" si="29"/>
        <v/>
      </c>
      <c r="O36" s="131">
        <v>7</v>
      </c>
      <c r="P36" s="110">
        <v>7</v>
      </c>
      <c r="Q36" s="118" t="str">
        <f t="shared" si="30"/>
        <v>X</v>
      </c>
      <c r="R36" s="119" t="str">
        <f t="shared" si="31"/>
        <v/>
      </c>
    </row>
    <row r="37" spans="1:18" ht="12.75" customHeight="1" x14ac:dyDescent="0.25">
      <c r="A37" s="110">
        <v>6</v>
      </c>
      <c r="B37" s="111">
        <v>5.0000000000000001E-4</v>
      </c>
      <c r="C37" s="131">
        <v>6</v>
      </c>
      <c r="D37" s="110">
        <v>6</v>
      </c>
      <c r="E37" s="118" t="str">
        <f t="shared" ref="E37:E38" si="32">IF(C37&lt;&gt;"",IF(AND(C37&gt;=(D37-(D37*$B37)),C37&lt;=(D37+(D37*$B37))),"X",""),"")</f>
        <v>X</v>
      </c>
      <c r="F37" s="119" t="str">
        <f t="shared" si="25"/>
        <v/>
      </c>
      <c r="G37" s="131">
        <v>6.0010000000000003</v>
      </c>
      <c r="H37" s="110">
        <v>6</v>
      </c>
      <c r="I37" s="118" t="str">
        <f t="shared" si="26"/>
        <v>X</v>
      </c>
      <c r="J37" s="119" t="str">
        <f t="shared" si="27"/>
        <v/>
      </c>
      <c r="K37" s="131">
        <v>5.9969999999999999</v>
      </c>
      <c r="L37" s="110">
        <v>6</v>
      </c>
      <c r="M37" s="118" t="str">
        <f t="shared" si="28"/>
        <v>X</v>
      </c>
      <c r="N37" s="119" t="str">
        <f t="shared" si="29"/>
        <v/>
      </c>
      <c r="O37" s="131">
        <v>5.9989999999999997</v>
      </c>
      <c r="P37" s="110">
        <v>6</v>
      </c>
      <c r="Q37" s="118" t="str">
        <f t="shared" si="30"/>
        <v>X</v>
      </c>
      <c r="R37" s="119" t="str">
        <f t="shared" si="31"/>
        <v/>
      </c>
    </row>
    <row r="38" spans="1:18" x14ac:dyDescent="0.25">
      <c r="A38" s="110">
        <v>5</v>
      </c>
      <c r="B38" s="111">
        <v>5.0000000000000001E-4</v>
      </c>
      <c r="C38" s="131">
        <v>5</v>
      </c>
      <c r="D38" s="110">
        <v>5</v>
      </c>
      <c r="E38" s="118" t="str">
        <f t="shared" si="32"/>
        <v>X</v>
      </c>
      <c r="F38" s="119" t="str">
        <f t="shared" si="25"/>
        <v/>
      </c>
      <c r="G38" s="131">
        <v>5</v>
      </c>
      <c r="H38" s="110">
        <v>5</v>
      </c>
      <c r="I38" s="118" t="str">
        <f t="shared" si="26"/>
        <v>X</v>
      </c>
      <c r="J38" s="119" t="str">
        <f t="shared" si="27"/>
        <v/>
      </c>
      <c r="K38" s="131">
        <v>5.0019999999999998</v>
      </c>
      <c r="L38" s="110">
        <v>5</v>
      </c>
      <c r="M38" s="118" t="str">
        <f t="shared" si="28"/>
        <v>X</v>
      </c>
      <c r="N38" s="119" t="str">
        <f t="shared" si="29"/>
        <v/>
      </c>
      <c r="O38" s="132">
        <v>5</v>
      </c>
      <c r="P38" s="110">
        <v>5</v>
      </c>
      <c r="Q38" s="118" t="str">
        <f t="shared" si="30"/>
        <v>X</v>
      </c>
      <c r="R38" s="119" t="str">
        <f t="shared" si="31"/>
        <v/>
      </c>
    </row>
    <row r="45" spans="1:18" x14ac:dyDescent="0.25">
      <c r="B45" s="29"/>
    </row>
  </sheetData>
  <mergeCells count="92">
    <mergeCell ref="Q33:Q34"/>
    <mergeCell ref="R33:R34"/>
    <mergeCell ref="K33:K34"/>
    <mergeCell ref="L33:L34"/>
    <mergeCell ref="M33:M34"/>
    <mergeCell ref="N33:N34"/>
    <mergeCell ref="O33:O34"/>
    <mergeCell ref="P33:P34"/>
    <mergeCell ref="F33:F34"/>
    <mergeCell ref="G33:G34"/>
    <mergeCell ref="H33:H34"/>
    <mergeCell ref="I33:I34"/>
    <mergeCell ref="K23:K24"/>
    <mergeCell ref="J33:J34"/>
    <mergeCell ref="R23:R24"/>
    <mergeCell ref="A31:R31"/>
    <mergeCell ref="A32:A34"/>
    <mergeCell ref="B32:B34"/>
    <mergeCell ref="C32:F32"/>
    <mergeCell ref="G32:J32"/>
    <mergeCell ref="K32:N32"/>
    <mergeCell ref="O32:R32"/>
    <mergeCell ref="C33:C34"/>
    <mergeCell ref="D33:D34"/>
    <mergeCell ref="L23:L24"/>
    <mergeCell ref="M23:M24"/>
    <mergeCell ref="N23:N24"/>
    <mergeCell ref="O23:O24"/>
    <mergeCell ref="P23:P24"/>
    <mergeCell ref="E33:E34"/>
    <mergeCell ref="A21:R21"/>
    <mergeCell ref="A22:A24"/>
    <mergeCell ref="B22:B24"/>
    <mergeCell ref="C22:F22"/>
    <mergeCell ref="G22:J22"/>
    <mergeCell ref="K22:N22"/>
    <mergeCell ref="Q23:Q24"/>
    <mergeCell ref="O22:R22"/>
    <mergeCell ref="C23:C24"/>
    <mergeCell ref="D23:D24"/>
    <mergeCell ref="E23:E24"/>
    <mergeCell ref="F23:F24"/>
    <mergeCell ref="G23:G24"/>
    <mergeCell ref="H23:H24"/>
    <mergeCell ref="I23:I24"/>
    <mergeCell ref="J23:J24"/>
    <mergeCell ref="Q13:Q14"/>
    <mergeCell ref="R13:R14"/>
    <mergeCell ref="K13:K14"/>
    <mergeCell ref="L13:L14"/>
    <mergeCell ref="M13:M14"/>
    <mergeCell ref="N13:N14"/>
    <mergeCell ref="O13:O14"/>
    <mergeCell ref="P13:P14"/>
    <mergeCell ref="F13:F14"/>
    <mergeCell ref="G13:G14"/>
    <mergeCell ref="H13:H14"/>
    <mergeCell ref="I13:I14"/>
    <mergeCell ref="K3:K4"/>
    <mergeCell ref="J13:J14"/>
    <mergeCell ref="R3:R4"/>
    <mergeCell ref="A11:R11"/>
    <mergeCell ref="A12:A14"/>
    <mergeCell ref="B12:B14"/>
    <mergeCell ref="C12:F12"/>
    <mergeCell ref="G12:J12"/>
    <mergeCell ref="K12:N12"/>
    <mergeCell ref="O12:R12"/>
    <mergeCell ref="C13:C14"/>
    <mergeCell ref="D13:D14"/>
    <mergeCell ref="L3:L4"/>
    <mergeCell ref="M3:M4"/>
    <mergeCell ref="N3:N4"/>
    <mergeCell ref="O3:O4"/>
    <mergeCell ref="P3:P4"/>
    <mergeCell ref="E13:E14"/>
    <mergeCell ref="A1:R1"/>
    <mergeCell ref="A2:A4"/>
    <mergeCell ref="B2:B4"/>
    <mergeCell ref="C2:F2"/>
    <mergeCell ref="G2:J2"/>
    <mergeCell ref="K2:N2"/>
    <mergeCell ref="O2:R2"/>
    <mergeCell ref="C3:C4"/>
    <mergeCell ref="D3:D4"/>
    <mergeCell ref="E3:E4"/>
    <mergeCell ref="Q3:Q4"/>
    <mergeCell ref="F3:F4"/>
    <mergeCell ref="G3:G4"/>
    <mergeCell ref="H3:H4"/>
    <mergeCell ref="I3:I4"/>
    <mergeCell ref="J3:J4"/>
  </mergeCells>
  <conditionalFormatting sqref="I6:I9 M6:M9 Q6:Q9 E6:E10">
    <cfRule type="cellIs" dxfId="0" priority="7" stopIfTrue="1" operator="equal">
      <formula>"X"</formula>
    </cfRule>
  </conditionalFormatting>
  <conditionalFormatting sqref="E15:E19 I15:I19 M15:M19 Q15:Q19">
    <cfRule type="cellIs" dxfId="40" priority="5" stopIfTrue="1" operator="equal">
      <formula>"X"</formula>
    </cfRule>
  </conditionalFormatting>
  <conditionalFormatting sqref="E25:E28 I25:I28 M25:M28 Q25:Q28">
    <cfRule type="cellIs" dxfId="39" priority="3" stopIfTrue="1" operator="equal">
      <formula>"X"</formula>
    </cfRule>
  </conditionalFormatting>
  <conditionalFormatting sqref="E35:E38 I35:I38 M35:M38 Q35:Q38">
    <cfRule type="cellIs" dxfId="38" priority="1" stopIfTrue="1" operator="equal">
      <formula>"X"</formula>
    </cfRule>
  </conditionalFormatting>
  <conditionalFormatting sqref="F6:F9 J6:J9 N6:N9 R6:R9">
    <cfRule type="cellIs" dxfId="37" priority="8" stopIfTrue="1" operator="equal">
      <formula>"X"</formula>
    </cfRule>
  </conditionalFormatting>
  <conditionalFormatting sqref="F15:F19 J15:J19 N15:N19 R15:R19">
    <cfRule type="cellIs" dxfId="36" priority="6" stopIfTrue="1" operator="equal">
      <formula>"X"</formula>
    </cfRule>
  </conditionalFormatting>
  <conditionalFormatting sqref="F25:F28 J25:J28 N25:N28 R25:R28">
    <cfRule type="cellIs" dxfId="35" priority="4" stopIfTrue="1" operator="equal">
      <formula>"X"</formula>
    </cfRule>
  </conditionalFormatting>
  <conditionalFormatting sqref="F35:F38 J35:J38 N35:N38 R35:R38">
    <cfRule type="cellIs" dxfId="34" priority="2" stopIfTrue="1" operator="equal">
      <formula>"X"</formula>
    </cfRule>
  </conditionalFormatting>
  <pageMargins left="0.78740157480314965" right="0.78740157480314965" top="0.98425196850393704" bottom="0.98425196850393704" header="0.51181102362204722" footer="0.51181102362204722"/>
  <pageSetup paperSize="9" scale="79" orientation="landscape" r:id="rId1"/>
  <headerFooter alignWithMargins="0">
    <oddFooter>&amp;Lform 384en.00</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DD73D-DB30-47E9-BE97-E86B196B7299}">
  <sheetPr>
    <pageSetUpPr fitToPage="1"/>
  </sheetPr>
  <dimension ref="A1:BN30"/>
  <sheetViews>
    <sheetView view="pageBreakPreview" topLeftCell="AI1" zoomScale="85" zoomScaleNormal="100" zoomScaleSheetLayoutView="85" workbookViewId="0">
      <selection activeCell="BK6" sqref="BK6:BK13"/>
    </sheetView>
  </sheetViews>
  <sheetFormatPr defaultColWidth="9.1796875" defaultRowHeight="12.5" x14ac:dyDescent="0.25"/>
  <cols>
    <col min="1" max="2" width="11.453125" style="22" customWidth="1"/>
    <col min="3" max="3" width="11.7265625" style="22" customWidth="1"/>
    <col min="4" max="4" width="11.453125" style="22" customWidth="1"/>
    <col min="5" max="6" width="4.7265625" style="22" customWidth="1"/>
    <col min="7" max="7" width="11.81640625" style="22" customWidth="1"/>
    <col min="8" max="8" width="11.453125" style="22" customWidth="1"/>
    <col min="9" max="10" width="4.7265625" style="22" customWidth="1"/>
    <col min="11" max="11" width="11.81640625" style="22" customWidth="1"/>
    <col min="12" max="12" width="11.453125" style="22" customWidth="1"/>
    <col min="13" max="14" width="4.7265625" style="22" customWidth="1"/>
    <col min="15" max="15" width="11.81640625" style="22" customWidth="1"/>
    <col min="16" max="16" width="11.453125" style="22" customWidth="1"/>
    <col min="17" max="18" width="4.7265625" style="22" customWidth="1"/>
    <col min="19" max="19" width="11.81640625" style="22" customWidth="1"/>
    <col min="20" max="20" width="11.453125" style="22" customWidth="1"/>
    <col min="21" max="22" width="4.7265625" style="22" customWidth="1"/>
    <col min="23" max="23" width="11.81640625" style="22" customWidth="1"/>
    <col min="24" max="24" width="11.453125" style="22" customWidth="1"/>
    <col min="25" max="26" width="4.7265625" style="22" customWidth="1"/>
    <col min="27" max="16384" width="9.1796875" style="22"/>
  </cols>
  <sheetData>
    <row r="1" spans="1:66" ht="16.5" customHeight="1" thickBot="1" x14ac:dyDescent="0.4">
      <c r="A1" s="285" t="s">
        <v>53</v>
      </c>
      <c r="B1" s="286"/>
      <c r="C1" s="286"/>
      <c r="D1" s="286"/>
      <c r="E1" s="286"/>
      <c r="F1" s="286"/>
      <c r="G1" s="286"/>
      <c r="H1" s="286"/>
      <c r="I1" s="286"/>
      <c r="J1" s="286"/>
      <c r="K1" s="286"/>
      <c r="L1" s="286"/>
      <c r="M1" s="286"/>
      <c r="N1" s="286"/>
      <c r="O1" s="286"/>
      <c r="P1" s="286"/>
      <c r="Q1" s="286"/>
      <c r="R1" s="286"/>
      <c r="S1" s="286"/>
      <c r="T1" s="286"/>
      <c r="U1" s="286"/>
      <c r="V1" s="286"/>
      <c r="W1" s="286"/>
      <c r="X1" s="286"/>
      <c r="Y1" s="286"/>
      <c r="Z1" s="287"/>
      <c r="AA1" s="51"/>
      <c r="AB1" s="51"/>
      <c r="AC1" s="51"/>
      <c r="AD1" s="51"/>
      <c r="AE1" s="51"/>
      <c r="AF1" s="51"/>
      <c r="AG1" s="51"/>
      <c r="AH1" s="51"/>
      <c r="AI1" s="51"/>
      <c r="AJ1" s="51"/>
      <c r="AK1" s="51"/>
      <c r="AL1" s="285" t="s">
        <v>53</v>
      </c>
      <c r="AM1" s="286"/>
      <c r="AN1" s="286"/>
      <c r="AO1" s="286"/>
      <c r="AP1" s="286"/>
      <c r="AQ1" s="286"/>
      <c r="AR1" s="286"/>
      <c r="AS1" s="286"/>
      <c r="AT1" s="286"/>
      <c r="AU1" s="286"/>
      <c r="AV1" s="286"/>
      <c r="AW1" s="286"/>
      <c r="AX1" s="286"/>
      <c r="AY1" s="286"/>
      <c r="AZ1" s="286"/>
      <c r="BA1" s="286"/>
      <c r="BB1" s="286"/>
      <c r="BC1" s="286"/>
      <c r="BD1" s="286"/>
      <c r="BE1" s="286"/>
      <c r="BF1" s="286"/>
      <c r="BG1" s="286"/>
      <c r="BH1" s="286"/>
      <c r="BI1" s="286"/>
      <c r="BJ1" s="286"/>
      <c r="BK1" s="286"/>
      <c r="BL1" s="286"/>
      <c r="BM1" s="286"/>
      <c r="BN1" s="286"/>
    </row>
    <row r="2" spans="1:66" ht="13.5" customHeight="1" thickBot="1" x14ac:dyDescent="0.3">
      <c r="A2" s="293" t="s">
        <v>39</v>
      </c>
      <c r="B2" s="296" t="s">
        <v>20</v>
      </c>
      <c r="C2" s="288" t="s">
        <v>33</v>
      </c>
      <c r="D2" s="289"/>
      <c r="E2" s="289"/>
      <c r="F2" s="290"/>
      <c r="G2" s="288" t="s">
        <v>34</v>
      </c>
      <c r="H2" s="289"/>
      <c r="I2" s="289"/>
      <c r="J2" s="290"/>
      <c r="K2" s="288" t="s">
        <v>35</v>
      </c>
      <c r="L2" s="289"/>
      <c r="M2" s="289"/>
      <c r="N2" s="290"/>
      <c r="O2" s="288" t="s">
        <v>36</v>
      </c>
      <c r="P2" s="289"/>
      <c r="Q2" s="289"/>
      <c r="R2" s="290"/>
      <c r="S2" s="288" t="s">
        <v>38</v>
      </c>
      <c r="T2" s="289"/>
      <c r="U2" s="289"/>
      <c r="V2" s="290"/>
      <c r="W2" s="288" t="s">
        <v>37</v>
      </c>
      <c r="X2" s="289"/>
      <c r="Y2" s="289"/>
      <c r="Z2" s="290"/>
      <c r="AA2" s="288" t="s">
        <v>54</v>
      </c>
      <c r="AB2" s="289"/>
      <c r="AC2" s="289"/>
      <c r="AD2" s="290"/>
      <c r="AE2" s="288" t="s">
        <v>55</v>
      </c>
      <c r="AF2" s="289"/>
      <c r="AG2" s="289"/>
      <c r="AH2" s="290"/>
      <c r="AI2" s="288" t="s">
        <v>56</v>
      </c>
      <c r="AJ2" s="289"/>
      <c r="AK2" s="289"/>
      <c r="AL2" s="290"/>
      <c r="AM2" s="288" t="s">
        <v>57</v>
      </c>
      <c r="AN2" s="289"/>
      <c r="AO2" s="289"/>
      <c r="AP2" s="290"/>
      <c r="AQ2" s="288" t="s">
        <v>58</v>
      </c>
      <c r="AR2" s="289"/>
      <c r="AS2" s="289"/>
      <c r="AT2" s="290"/>
      <c r="AU2" s="288" t="s">
        <v>59</v>
      </c>
      <c r="AV2" s="289"/>
      <c r="AW2" s="289"/>
      <c r="AX2" s="290"/>
      <c r="AY2" s="288" t="s">
        <v>61</v>
      </c>
      <c r="AZ2" s="289"/>
      <c r="BA2" s="289"/>
      <c r="BB2" s="290"/>
      <c r="BC2" s="288" t="s">
        <v>62</v>
      </c>
      <c r="BD2" s="289"/>
      <c r="BE2" s="289"/>
      <c r="BF2" s="290"/>
      <c r="BG2" s="288" t="s">
        <v>63</v>
      </c>
      <c r="BH2" s="289"/>
      <c r="BI2" s="289"/>
      <c r="BJ2" s="290"/>
      <c r="BK2" s="288" t="s">
        <v>64</v>
      </c>
      <c r="BL2" s="289"/>
      <c r="BM2" s="289"/>
      <c r="BN2" s="290"/>
    </row>
    <row r="3" spans="1:66" s="27" customFormat="1" ht="13.5" customHeight="1" x14ac:dyDescent="0.25">
      <c r="A3" s="294"/>
      <c r="B3" s="297"/>
      <c r="C3" s="291" t="s">
        <v>41</v>
      </c>
      <c r="D3" s="281" t="s">
        <v>40</v>
      </c>
      <c r="E3" s="281" t="s">
        <v>0</v>
      </c>
      <c r="F3" s="283" t="s">
        <v>1</v>
      </c>
      <c r="G3" s="291" t="s">
        <v>41</v>
      </c>
      <c r="H3" s="281" t="s">
        <v>40</v>
      </c>
      <c r="I3" s="281" t="s">
        <v>0</v>
      </c>
      <c r="J3" s="283" t="s">
        <v>1</v>
      </c>
      <c r="K3" s="291" t="s">
        <v>41</v>
      </c>
      <c r="L3" s="281" t="s">
        <v>40</v>
      </c>
      <c r="M3" s="281" t="s">
        <v>0</v>
      </c>
      <c r="N3" s="283" t="s">
        <v>1</v>
      </c>
      <c r="O3" s="291" t="s">
        <v>41</v>
      </c>
      <c r="P3" s="281" t="s">
        <v>40</v>
      </c>
      <c r="Q3" s="281" t="s">
        <v>0</v>
      </c>
      <c r="R3" s="283" t="s">
        <v>1</v>
      </c>
      <c r="S3" s="291" t="s">
        <v>41</v>
      </c>
      <c r="T3" s="281" t="s">
        <v>40</v>
      </c>
      <c r="U3" s="281" t="s">
        <v>0</v>
      </c>
      <c r="V3" s="283" t="s">
        <v>1</v>
      </c>
      <c r="W3" s="291" t="s">
        <v>41</v>
      </c>
      <c r="X3" s="281" t="s">
        <v>40</v>
      </c>
      <c r="Y3" s="281" t="s">
        <v>0</v>
      </c>
      <c r="Z3" s="283" t="s">
        <v>1</v>
      </c>
      <c r="AA3" s="291" t="s">
        <v>41</v>
      </c>
      <c r="AB3" s="281" t="s">
        <v>40</v>
      </c>
      <c r="AC3" s="281" t="s">
        <v>0</v>
      </c>
      <c r="AD3" s="283" t="s">
        <v>1</v>
      </c>
      <c r="AE3" s="291" t="s">
        <v>41</v>
      </c>
      <c r="AF3" s="281" t="s">
        <v>40</v>
      </c>
      <c r="AG3" s="281" t="s">
        <v>0</v>
      </c>
      <c r="AH3" s="283" t="s">
        <v>1</v>
      </c>
      <c r="AI3" s="291" t="s">
        <v>41</v>
      </c>
      <c r="AJ3" s="281" t="s">
        <v>40</v>
      </c>
      <c r="AK3" s="281" t="s">
        <v>0</v>
      </c>
      <c r="AL3" s="283" t="s">
        <v>1</v>
      </c>
      <c r="AM3" s="291" t="s">
        <v>41</v>
      </c>
      <c r="AN3" s="281" t="s">
        <v>40</v>
      </c>
      <c r="AO3" s="281" t="s">
        <v>0</v>
      </c>
      <c r="AP3" s="283" t="s">
        <v>1</v>
      </c>
      <c r="AQ3" s="291" t="s">
        <v>41</v>
      </c>
      <c r="AR3" s="281" t="s">
        <v>40</v>
      </c>
      <c r="AS3" s="281" t="s">
        <v>0</v>
      </c>
      <c r="AT3" s="283" t="s">
        <v>1</v>
      </c>
      <c r="AU3" s="291" t="s">
        <v>41</v>
      </c>
      <c r="AV3" s="281" t="s">
        <v>40</v>
      </c>
      <c r="AW3" s="281" t="s">
        <v>0</v>
      </c>
      <c r="AX3" s="283" t="s">
        <v>1</v>
      </c>
      <c r="AY3" s="291" t="s">
        <v>41</v>
      </c>
      <c r="AZ3" s="281" t="s">
        <v>40</v>
      </c>
      <c r="BA3" s="281" t="s">
        <v>0</v>
      </c>
      <c r="BB3" s="283" t="s">
        <v>1</v>
      </c>
      <c r="BC3" s="291" t="s">
        <v>41</v>
      </c>
      <c r="BD3" s="281" t="s">
        <v>40</v>
      </c>
      <c r="BE3" s="281" t="s">
        <v>0</v>
      </c>
      <c r="BF3" s="283" t="s">
        <v>1</v>
      </c>
      <c r="BG3" s="291" t="s">
        <v>41</v>
      </c>
      <c r="BH3" s="281" t="s">
        <v>40</v>
      </c>
      <c r="BI3" s="281" t="s">
        <v>0</v>
      </c>
      <c r="BJ3" s="283" t="s">
        <v>1</v>
      </c>
      <c r="BK3" s="291" t="s">
        <v>41</v>
      </c>
      <c r="BL3" s="281" t="s">
        <v>40</v>
      </c>
      <c r="BM3" s="281" t="s">
        <v>0</v>
      </c>
      <c r="BN3" s="283" t="s">
        <v>1</v>
      </c>
    </row>
    <row r="4" spans="1:66" s="27" customFormat="1" ht="12.75" customHeight="1" x14ac:dyDescent="0.25">
      <c r="A4" s="295"/>
      <c r="B4" s="298"/>
      <c r="C4" s="292"/>
      <c r="D4" s="282"/>
      <c r="E4" s="282"/>
      <c r="F4" s="284"/>
      <c r="G4" s="292"/>
      <c r="H4" s="282"/>
      <c r="I4" s="282"/>
      <c r="J4" s="284"/>
      <c r="K4" s="292"/>
      <c r="L4" s="282"/>
      <c r="M4" s="282"/>
      <c r="N4" s="284"/>
      <c r="O4" s="292"/>
      <c r="P4" s="282"/>
      <c r="Q4" s="282"/>
      <c r="R4" s="284"/>
      <c r="S4" s="292"/>
      <c r="T4" s="282"/>
      <c r="U4" s="282"/>
      <c r="V4" s="284"/>
      <c r="W4" s="292"/>
      <c r="X4" s="282"/>
      <c r="Y4" s="282"/>
      <c r="Z4" s="284"/>
      <c r="AA4" s="292"/>
      <c r="AB4" s="282"/>
      <c r="AC4" s="282"/>
      <c r="AD4" s="284"/>
      <c r="AE4" s="292"/>
      <c r="AF4" s="282"/>
      <c r="AG4" s="282"/>
      <c r="AH4" s="284"/>
      <c r="AI4" s="292"/>
      <c r="AJ4" s="282"/>
      <c r="AK4" s="282"/>
      <c r="AL4" s="284"/>
      <c r="AM4" s="292"/>
      <c r="AN4" s="282"/>
      <c r="AO4" s="282"/>
      <c r="AP4" s="284"/>
      <c r="AQ4" s="292"/>
      <c r="AR4" s="282"/>
      <c r="AS4" s="282"/>
      <c r="AT4" s="284"/>
      <c r="AU4" s="292"/>
      <c r="AV4" s="282"/>
      <c r="AW4" s="282"/>
      <c r="AX4" s="284"/>
      <c r="AY4" s="292"/>
      <c r="AZ4" s="282"/>
      <c r="BA4" s="282"/>
      <c r="BB4" s="284"/>
      <c r="BC4" s="292"/>
      <c r="BD4" s="282"/>
      <c r="BE4" s="282"/>
      <c r="BF4" s="284"/>
      <c r="BG4" s="292"/>
      <c r="BH4" s="282"/>
      <c r="BI4" s="282"/>
      <c r="BJ4" s="284"/>
      <c r="BK4" s="292"/>
      <c r="BL4" s="282"/>
      <c r="BM4" s="282"/>
      <c r="BN4" s="284"/>
    </row>
    <row r="5" spans="1:66" s="27" customFormat="1" ht="12.75" customHeight="1" thickBot="1" x14ac:dyDescent="0.3">
      <c r="A5" s="53" t="s">
        <v>4</v>
      </c>
      <c r="B5" s="54" t="s">
        <v>5</v>
      </c>
      <c r="C5" s="55" t="s">
        <v>4</v>
      </c>
      <c r="D5" s="56" t="s">
        <v>4</v>
      </c>
      <c r="E5" s="56"/>
      <c r="F5" s="57"/>
      <c r="G5" s="55"/>
      <c r="H5" s="56"/>
      <c r="I5" s="56"/>
      <c r="J5" s="57"/>
      <c r="K5" s="55"/>
      <c r="L5" s="56"/>
      <c r="M5" s="56"/>
      <c r="N5" s="57"/>
      <c r="O5" s="55"/>
      <c r="P5" s="56"/>
      <c r="Q5" s="56"/>
      <c r="R5" s="57"/>
      <c r="S5" s="55"/>
      <c r="T5" s="56"/>
      <c r="U5" s="56"/>
      <c r="V5" s="57"/>
      <c r="W5" s="55"/>
      <c r="X5" s="56"/>
      <c r="Y5" s="56"/>
      <c r="Z5" s="57"/>
      <c r="AA5" s="55"/>
      <c r="AB5" s="56"/>
      <c r="AC5" s="56"/>
      <c r="AD5" s="57"/>
      <c r="AE5" s="55"/>
      <c r="AF5" s="56"/>
      <c r="AG5" s="56"/>
      <c r="AH5" s="57"/>
      <c r="AI5" s="55"/>
      <c r="AJ5" s="56"/>
      <c r="AK5" s="56"/>
      <c r="AL5" s="57"/>
      <c r="AM5" s="55"/>
      <c r="AN5" s="56"/>
      <c r="AO5" s="56"/>
      <c r="AP5" s="57"/>
      <c r="AQ5" s="55"/>
      <c r="AR5" s="56"/>
      <c r="AS5" s="56"/>
      <c r="AT5" s="57"/>
      <c r="AU5" s="55"/>
      <c r="AV5" s="56"/>
      <c r="AW5" s="56"/>
      <c r="AX5" s="57"/>
      <c r="AY5" s="55"/>
      <c r="AZ5" s="56"/>
      <c r="BA5" s="56"/>
      <c r="BB5" s="57"/>
      <c r="BC5" s="55"/>
      <c r="BD5" s="56"/>
      <c r="BE5" s="56"/>
      <c r="BF5" s="57"/>
      <c r="BG5" s="55"/>
      <c r="BH5" s="56"/>
      <c r="BI5" s="56"/>
      <c r="BJ5" s="57"/>
      <c r="BK5" s="55"/>
      <c r="BL5" s="56"/>
      <c r="BM5" s="56"/>
      <c r="BN5" s="57"/>
    </row>
    <row r="6" spans="1:66" ht="13" thickBot="1" x14ac:dyDescent="0.3">
      <c r="A6" s="110">
        <v>0</v>
      </c>
      <c r="B6" s="111">
        <v>5.0000000000000001E-3</v>
      </c>
      <c r="C6" s="113">
        <v>0</v>
      </c>
      <c r="D6" s="113">
        <v>0</v>
      </c>
      <c r="E6" s="114" t="str">
        <f t="shared" ref="E6:E13" si="0">IF(C6&lt;&gt;"",IF(AND(C6&gt;=(D6-(D6*$B6)),C6&lt;=(D6+(D6*$B6))),"X",""),"")</f>
        <v>X</v>
      </c>
      <c r="F6" s="115" t="str">
        <f t="shared" ref="F6:F13" si="1">IF(NOT(E6="X"),"X","")</f>
        <v/>
      </c>
      <c r="G6" s="113">
        <v>0</v>
      </c>
      <c r="H6" s="113">
        <v>0</v>
      </c>
      <c r="I6" s="114" t="str">
        <f t="shared" ref="I6:I13" si="2">IF(G6&lt;&gt;"",IF(AND(G6&gt;=(H6-(H6*$B6)),G6&lt;=(H6+(H6*$B6))),"X",""),"")</f>
        <v>X</v>
      </c>
      <c r="J6" s="115" t="str">
        <f t="shared" ref="J6:J13" si="3">IF(NOT(I6="X"),"X","")</f>
        <v/>
      </c>
      <c r="K6" s="113">
        <v>0</v>
      </c>
      <c r="L6" s="113">
        <v>0</v>
      </c>
      <c r="M6" s="114" t="str">
        <f t="shared" ref="M6:M13" si="4">IF(K6&lt;&gt;"",IF(AND(K6&gt;=(L6-(L6*$B6)),K6&lt;=(L6+(L6*$B6))),"X",""),"")</f>
        <v>X</v>
      </c>
      <c r="N6" s="115" t="str">
        <f t="shared" ref="N6:N13" si="5">IF(NOT(M6="X"),"X","")</f>
        <v/>
      </c>
      <c r="O6" s="113">
        <v>0</v>
      </c>
      <c r="P6" s="113">
        <v>0</v>
      </c>
      <c r="Q6" s="114" t="str">
        <f t="shared" ref="Q6:Q13" si="6">IF(O6&lt;&gt;"",IF(AND(O6&gt;=(P6-(P6*$B6)),O6&lt;=(P6+(P6*$B6))),"X",""),"")</f>
        <v>X</v>
      </c>
      <c r="R6" s="115" t="str">
        <f t="shared" ref="R6:R13" si="7">IF(NOT(Q6="X"),"X","")</f>
        <v/>
      </c>
      <c r="S6" s="113">
        <v>0</v>
      </c>
      <c r="T6" s="113">
        <v>0</v>
      </c>
      <c r="U6" s="114" t="str">
        <f t="shared" ref="U6:U13" si="8">IF(S6&lt;&gt;"",IF(AND(S6&gt;=(T6-(T6*$B6)),S6&lt;=(T6+(T6*$B6))),"X",""),"")</f>
        <v>X</v>
      </c>
      <c r="V6" s="115" t="str">
        <f t="shared" ref="V6:V13" si="9">IF(NOT(U6="X"),"X","")</f>
        <v/>
      </c>
      <c r="W6" s="113">
        <v>0</v>
      </c>
      <c r="X6" s="113">
        <v>0</v>
      </c>
      <c r="Y6" s="114" t="str">
        <f t="shared" ref="Y6:Y13" si="10">IF(W6&lt;&gt;"",IF(AND(W6&gt;=(X6-(X6*$B6)),W6&lt;=(X6+(X6*$B6))),"X",""),"")</f>
        <v>X</v>
      </c>
      <c r="Z6" s="115" t="str">
        <f t="shared" ref="Z6:Z13" si="11">IF(NOT(Y6="X"),"X","")</f>
        <v/>
      </c>
      <c r="AA6" s="113">
        <v>0</v>
      </c>
      <c r="AB6" s="113">
        <v>0</v>
      </c>
      <c r="AC6" s="114" t="str">
        <f t="shared" ref="AC6:AC13" si="12">IF(AA6&lt;&gt;"",IF(AND(AA6&gt;=(AB6-(AB6*$B6)),AA6&lt;=(AB6+(AB6*$B6))),"X",""),"")</f>
        <v>X</v>
      </c>
      <c r="AD6" s="115" t="str">
        <f t="shared" ref="AD6:AD13" si="13">IF(NOT(AC6="X"),"X","")</f>
        <v/>
      </c>
      <c r="AE6" s="113">
        <v>0</v>
      </c>
      <c r="AF6" s="113">
        <v>0</v>
      </c>
      <c r="AG6" s="114" t="str">
        <f t="shared" ref="AG6:AG13" si="14">IF(AE6&lt;&gt;"",IF(AND(AE6&gt;=(AF6-(AF6*$B6)),AE6&lt;=(AF6+(AF6*$B6))),"X",""),"")</f>
        <v>X</v>
      </c>
      <c r="AH6" s="115" t="str">
        <f t="shared" ref="AH6:AH13" si="15">IF(NOT(AG6="X"),"X","")</f>
        <v/>
      </c>
      <c r="AI6" s="113">
        <v>0</v>
      </c>
      <c r="AJ6" s="113">
        <v>0</v>
      </c>
      <c r="AK6" s="114" t="str">
        <f t="shared" ref="AK6:AK13" si="16">IF(AI6&lt;&gt;"",IF(AND(AI6&gt;=(AJ6-(AJ6*$B6)),AI6&lt;=(AJ6+(AJ6*$B6))),"X",""),"")</f>
        <v>X</v>
      </c>
      <c r="AL6" s="115" t="str">
        <f t="shared" ref="AL6:AL13" si="17">IF(NOT(AK6="X"),"X","")</f>
        <v/>
      </c>
      <c r="AM6" s="113">
        <v>0</v>
      </c>
      <c r="AN6" s="113">
        <v>0</v>
      </c>
      <c r="AO6" s="114" t="str">
        <f t="shared" ref="AO6:AO13" si="18">IF(AM6&lt;&gt;"",IF(AND(AM6&gt;=(AN6-(AN6*$B6)),AM6&lt;=(AN6+(AN6*$B6))),"X",""),"")</f>
        <v>X</v>
      </c>
      <c r="AP6" s="115" t="str">
        <f t="shared" ref="AP6:AP9" si="19">IF(NOT(AO6="X"),"X","")</f>
        <v/>
      </c>
      <c r="AQ6" s="113">
        <v>0</v>
      </c>
      <c r="AR6" s="113">
        <v>0</v>
      </c>
      <c r="AS6" s="114" t="str">
        <f t="shared" ref="AS6:AS13" si="20">IF(AQ6&lt;&gt;"",IF(AND(AQ6&gt;=(AR6-(AR6*$B6)),AQ6&lt;=(AR6+(AR6*$B6))),"X",""),"")</f>
        <v>X</v>
      </c>
      <c r="AT6" s="115" t="str">
        <f t="shared" ref="AT6:AT9" si="21">IF(NOT(AS6="X"),"X","")</f>
        <v/>
      </c>
      <c r="AU6" s="113">
        <v>0</v>
      </c>
      <c r="AV6" s="113">
        <v>0</v>
      </c>
      <c r="AW6" s="114" t="str">
        <f t="shared" ref="AW6:AW13" si="22">IF(AU6&lt;&gt;"",IF(AND(AU6&gt;=(AV6-(AV6*$B6)),AU6&lt;=(AV6+(AV6*$B6))),"X",""),"")</f>
        <v>X</v>
      </c>
      <c r="AX6" s="115" t="str">
        <f t="shared" ref="AX6:AX9" si="23">IF(NOT(AW6="X"),"X","")</f>
        <v/>
      </c>
      <c r="AY6" s="113">
        <v>0</v>
      </c>
      <c r="AZ6" s="113">
        <v>0</v>
      </c>
      <c r="BA6" s="114" t="str">
        <f t="shared" ref="BA6:BA13" si="24">IF(AY6&lt;&gt;"",IF(AND(AY6&gt;=(AZ6-(AZ6*$B6)),AY6&lt;=(AZ6+(AZ6*$B6))),"X",""),"")</f>
        <v>X</v>
      </c>
      <c r="BB6" s="115" t="str">
        <f t="shared" ref="BB6:BB9" si="25">IF(NOT(BA6="X"),"X","")</f>
        <v/>
      </c>
      <c r="BC6" s="113">
        <v>0</v>
      </c>
      <c r="BD6" s="113">
        <v>0</v>
      </c>
      <c r="BE6" s="114" t="str">
        <f t="shared" ref="BE6:BE13" si="26">IF(BC6&lt;&gt;"",IF(AND(BC6&gt;=(BD6-(BD6*$B6)),BC6&lt;=(BD6+(BD6*$B6))),"X",""),"")</f>
        <v>X</v>
      </c>
      <c r="BF6" s="115" t="str">
        <f t="shared" ref="BF6:BF13" si="27">IF(NOT(BE6="X"),"X","")</f>
        <v/>
      </c>
      <c r="BG6" s="113">
        <v>0</v>
      </c>
      <c r="BH6" s="113">
        <v>0</v>
      </c>
      <c r="BI6" s="114" t="str">
        <f t="shared" ref="BI6:BI13" si="28">IF(BG6&lt;&gt;"",IF(AND(BG6&gt;=(BH6-(BH6*$B6)),BG6&lt;=(BH6+(BH6*$B6))),"X",""),"")</f>
        <v>X</v>
      </c>
      <c r="BJ6" s="115" t="str">
        <f t="shared" ref="BJ6:BJ9" si="29">IF(NOT(BI6="X"),"X","")</f>
        <v/>
      </c>
      <c r="BK6" s="113">
        <v>0</v>
      </c>
      <c r="BL6" s="113">
        <v>0</v>
      </c>
      <c r="BM6" s="114" t="str">
        <f t="shared" ref="BM6:BM13" si="30">IF(BK6&lt;&gt;"",IF(AND(BK6&gt;=(BL6-(BL6*$B6)),BK6&lt;=(BL6+(BL6*$B6))),"X",""),"")</f>
        <v>X</v>
      </c>
      <c r="BN6" s="115" t="str">
        <f t="shared" ref="BN6:BN9" si="31">IF(NOT(BM6="X"),"X","")</f>
        <v/>
      </c>
    </row>
    <row r="7" spans="1:66" ht="13" thickBot="1" x14ac:dyDescent="0.3">
      <c r="A7" s="110">
        <v>5</v>
      </c>
      <c r="B7" s="111">
        <v>5.0000000000000001E-3</v>
      </c>
      <c r="C7" s="113">
        <v>5</v>
      </c>
      <c r="D7" s="117">
        <v>5</v>
      </c>
      <c r="E7" s="118" t="str">
        <f t="shared" si="0"/>
        <v>X</v>
      </c>
      <c r="F7" s="119" t="str">
        <f t="shared" si="1"/>
        <v/>
      </c>
      <c r="G7" s="113">
        <v>4.9800000000000004</v>
      </c>
      <c r="H7" s="117">
        <v>5</v>
      </c>
      <c r="I7" s="118" t="str">
        <f t="shared" si="2"/>
        <v>X</v>
      </c>
      <c r="J7" s="119" t="str">
        <f t="shared" si="3"/>
        <v/>
      </c>
      <c r="K7" s="113">
        <v>4.9800000000000004</v>
      </c>
      <c r="L7" s="117">
        <v>5</v>
      </c>
      <c r="M7" s="118" t="str">
        <f t="shared" si="4"/>
        <v>X</v>
      </c>
      <c r="N7" s="119" t="str">
        <f t="shared" si="5"/>
        <v/>
      </c>
      <c r="O7" s="113">
        <v>4.9800000000000004</v>
      </c>
      <c r="P7" s="117">
        <v>5</v>
      </c>
      <c r="Q7" s="114" t="str">
        <f t="shared" si="6"/>
        <v>X</v>
      </c>
      <c r="R7" s="119" t="str">
        <f t="shared" si="7"/>
        <v/>
      </c>
      <c r="S7" s="113">
        <v>5</v>
      </c>
      <c r="T7" s="117">
        <v>5</v>
      </c>
      <c r="U7" s="114" t="str">
        <f t="shared" si="8"/>
        <v>X</v>
      </c>
      <c r="V7" s="119" t="str">
        <f t="shared" si="9"/>
        <v/>
      </c>
      <c r="W7" s="113">
        <v>4.9800000000000004</v>
      </c>
      <c r="X7" s="117">
        <v>5</v>
      </c>
      <c r="Y7" s="114" t="str">
        <f t="shared" si="10"/>
        <v>X</v>
      </c>
      <c r="Z7" s="119" t="str">
        <f t="shared" si="11"/>
        <v/>
      </c>
      <c r="AA7" s="113">
        <v>4.9800000000000004</v>
      </c>
      <c r="AB7" s="117">
        <v>5</v>
      </c>
      <c r="AC7" s="114" t="str">
        <f t="shared" si="12"/>
        <v>X</v>
      </c>
      <c r="AD7" s="119" t="str">
        <f t="shared" si="13"/>
        <v/>
      </c>
      <c r="AE7" s="113">
        <v>4.9800000000000004</v>
      </c>
      <c r="AF7" s="117">
        <v>5</v>
      </c>
      <c r="AG7" s="114" t="str">
        <f t="shared" si="14"/>
        <v>X</v>
      </c>
      <c r="AH7" s="119" t="str">
        <f t="shared" si="15"/>
        <v/>
      </c>
      <c r="AI7" s="113">
        <v>4.9800000000000004</v>
      </c>
      <c r="AJ7" s="117">
        <v>5</v>
      </c>
      <c r="AK7" s="114" t="str">
        <f t="shared" si="16"/>
        <v>X</v>
      </c>
      <c r="AL7" s="119" t="str">
        <f t="shared" si="17"/>
        <v/>
      </c>
      <c r="AM7" s="113">
        <v>4.9800000000000004</v>
      </c>
      <c r="AN7" s="117">
        <v>5</v>
      </c>
      <c r="AO7" s="114" t="str">
        <f t="shared" si="18"/>
        <v>X</v>
      </c>
      <c r="AP7" s="119" t="str">
        <f t="shared" si="19"/>
        <v/>
      </c>
      <c r="AQ7" s="113">
        <v>4.9800000000000004</v>
      </c>
      <c r="AR7" s="117">
        <v>5</v>
      </c>
      <c r="AS7" s="114" t="str">
        <f t="shared" si="20"/>
        <v>X</v>
      </c>
      <c r="AT7" s="119" t="str">
        <f t="shared" si="21"/>
        <v/>
      </c>
      <c r="AU7" s="113">
        <v>4.9800000000000004</v>
      </c>
      <c r="AV7" s="117">
        <v>5</v>
      </c>
      <c r="AW7" s="114" t="str">
        <f t="shared" si="22"/>
        <v>X</v>
      </c>
      <c r="AX7" s="119" t="str">
        <f t="shared" si="23"/>
        <v/>
      </c>
      <c r="AY7" s="113">
        <v>4.9800000000000004</v>
      </c>
      <c r="AZ7" s="117">
        <v>5</v>
      </c>
      <c r="BA7" s="114" t="str">
        <f t="shared" si="24"/>
        <v>X</v>
      </c>
      <c r="BB7" s="119" t="str">
        <f t="shared" si="25"/>
        <v/>
      </c>
      <c r="BC7" s="113">
        <v>4.9800000000000004</v>
      </c>
      <c r="BD7" s="117">
        <v>5</v>
      </c>
      <c r="BE7" s="114" t="str">
        <f t="shared" si="26"/>
        <v>X</v>
      </c>
      <c r="BF7" s="119" t="str">
        <f t="shared" si="27"/>
        <v/>
      </c>
      <c r="BG7" s="113">
        <v>4.9800000000000004</v>
      </c>
      <c r="BH7" s="117">
        <v>5</v>
      </c>
      <c r="BI7" s="114" t="str">
        <f t="shared" si="28"/>
        <v>X</v>
      </c>
      <c r="BJ7" s="119" t="str">
        <f t="shared" si="29"/>
        <v/>
      </c>
      <c r="BK7" s="113">
        <v>4.9800000000000004</v>
      </c>
      <c r="BL7" s="117">
        <v>5</v>
      </c>
      <c r="BM7" s="114" t="str">
        <f t="shared" si="30"/>
        <v>X</v>
      </c>
      <c r="BN7" s="119" t="str">
        <f t="shared" si="31"/>
        <v/>
      </c>
    </row>
    <row r="8" spans="1:66" ht="13" thickBot="1" x14ac:dyDescent="0.3">
      <c r="A8" s="110">
        <v>10</v>
      </c>
      <c r="B8" s="111">
        <v>5.0000000000000001E-3</v>
      </c>
      <c r="C8" s="113">
        <v>9.98</v>
      </c>
      <c r="D8" s="117">
        <v>10</v>
      </c>
      <c r="E8" s="118" t="str">
        <f t="shared" si="0"/>
        <v>X</v>
      </c>
      <c r="F8" s="119" t="str">
        <f t="shared" si="1"/>
        <v/>
      </c>
      <c r="G8" s="113">
        <v>9.98</v>
      </c>
      <c r="H8" s="117">
        <v>10</v>
      </c>
      <c r="I8" s="118" t="str">
        <f t="shared" si="2"/>
        <v>X</v>
      </c>
      <c r="J8" s="119" t="str">
        <f t="shared" si="3"/>
        <v/>
      </c>
      <c r="K8" s="113">
        <v>9.98</v>
      </c>
      <c r="L8" s="117">
        <v>10</v>
      </c>
      <c r="M8" s="118" t="str">
        <f t="shared" si="4"/>
        <v>X</v>
      </c>
      <c r="N8" s="119" t="str">
        <f t="shared" si="5"/>
        <v/>
      </c>
      <c r="O8" s="113">
        <v>9.98</v>
      </c>
      <c r="P8" s="117">
        <v>10</v>
      </c>
      <c r="Q8" s="114" t="str">
        <f t="shared" si="6"/>
        <v>X</v>
      </c>
      <c r="R8" s="119" t="str">
        <f t="shared" si="7"/>
        <v/>
      </c>
      <c r="S8" s="113">
        <v>9.98</v>
      </c>
      <c r="T8" s="117">
        <v>10</v>
      </c>
      <c r="U8" s="114" t="str">
        <f t="shared" si="8"/>
        <v>X</v>
      </c>
      <c r="V8" s="119" t="str">
        <f t="shared" si="9"/>
        <v/>
      </c>
      <c r="W8" s="113">
        <v>9.98</v>
      </c>
      <c r="X8" s="117">
        <v>10</v>
      </c>
      <c r="Y8" s="114" t="str">
        <f t="shared" si="10"/>
        <v>X</v>
      </c>
      <c r="Z8" s="119" t="str">
        <f t="shared" si="11"/>
        <v/>
      </c>
      <c r="AA8" s="113">
        <v>9.98</v>
      </c>
      <c r="AB8" s="117">
        <v>10</v>
      </c>
      <c r="AC8" s="114" t="str">
        <f t="shared" si="12"/>
        <v>X</v>
      </c>
      <c r="AD8" s="119" t="str">
        <f t="shared" si="13"/>
        <v/>
      </c>
      <c r="AE8" s="113">
        <v>9.98</v>
      </c>
      <c r="AF8" s="117">
        <v>10</v>
      </c>
      <c r="AG8" s="114" t="str">
        <f t="shared" si="14"/>
        <v>X</v>
      </c>
      <c r="AH8" s="119" t="str">
        <f t="shared" si="15"/>
        <v/>
      </c>
      <c r="AI8" s="113">
        <v>9.98</v>
      </c>
      <c r="AJ8" s="117">
        <v>10</v>
      </c>
      <c r="AK8" s="114" t="str">
        <f t="shared" si="16"/>
        <v>X</v>
      </c>
      <c r="AL8" s="119" t="str">
        <f t="shared" si="17"/>
        <v/>
      </c>
      <c r="AM8" s="113">
        <v>9.98</v>
      </c>
      <c r="AN8" s="117">
        <v>10</v>
      </c>
      <c r="AO8" s="114" t="str">
        <f t="shared" si="18"/>
        <v>X</v>
      </c>
      <c r="AP8" s="119" t="str">
        <f t="shared" si="19"/>
        <v/>
      </c>
      <c r="AQ8" s="113">
        <v>9.98</v>
      </c>
      <c r="AR8" s="117">
        <v>10</v>
      </c>
      <c r="AS8" s="114" t="str">
        <f t="shared" si="20"/>
        <v>X</v>
      </c>
      <c r="AT8" s="119" t="str">
        <f t="shared" si="21"/>
        <v/>
      </c>
      <c r="AU8" s="113">
        <v>9.98</v>
      </c>
      <c r="AV8" s="117">
        <v>10</v>
      </c>
      <c r="AW8" s="114" t="str">
        <f t="shared" si="22"/>
        <v>X</v>
      </c>
      <c r="AX8" s="119" t="str">
        <f t="shared" si="23"/>
        <v/>
      </c>
      <c r="AY8" s="113">
        <v>9.98</v>
      </c>
      <c r="AZ8" s="117">
        <v>10</v>
      </c>
      <c r="BA8" s="114" t="str">
        <f t="shared" si="24"/>
        <v>X</v>
      </c>
      <c r="BB8" s="119" t="str">
        <f t="shared" si="25"/>
        <v/>
      </c>
      <c r="BC8" s="113">
        <v>9.98</v>
      </c>
      <c r="BD8" s="117">
        <v>10</v>
      </c>
      <c r="BE8" s="114" t="str">
        <f t="shared" si="26"/>
        <v>X</v>
      </c>
      <c r="BF8" s="119" t="str">
        <f t="shared" si="27"/>
        <v/>
      </c>
      <c r="BG8" s="113">
        <v>9.98</v>
      </c>
      <c r="BH8" s="117">
        <v>10</v>
      </c>
      <c r="BI8" s="114" t="str">
        <f t="shared" si="28"/>
        <v>X</v>
      </c>
      <c r="BJ8" s="119" t="str">
        <f t="shared" si="29"/>
        <v/>
      </c>
      <c r="BK8" s="113">
        <v>9.98</v>
      </c>
      <c r="BL8" s="117">
        <v>10</v>
      </c>
      <c r="BM8" s="114" t="str">
        <f t="shared" si="30"/>
        <v>X</v>
      </c>
      <c r="BN8" s="119" t="str">
        <f t="shared" si="31"/>
        <v/>
      </c>
    </row>
    <row r="9" spans="1:66" ht="13" thickBot="1" x14ac:dyDescent="0.3">
      <c r="A9" s="110">
        <v>15</v>
      </c>
      <c r="B9" s="111">
        <v>5.0000000000000001E-3</v>
      </c>
      <c r="C9" s="113">
        <v>14.98</v>
      </c>
      <c r="D9" s="117">
        <v>15</v>
      </c>
      <c r="E9" s="118" t="str">
        <f t="shared" si="0"/>
        <v>X</v>
      </c>
      <c r="F9" s="119" t="str">
        <f t="shared" si="1"/>
        <v/>
      </c>
      <c r="G9" s="113">
        <v>14.98</v>
      </c>
      <c r="H9" s="117">
        <v>15</v>
      </c>
      <c r="I9" s="118" t="str">
        <f t="shared" si="2"/>
        <v>X</v>
      </c>
      <c r="J9" s="119" t="str">
        <f t="shared" si="3"/>
        <v/>
      </c>
      <c r="K9" s="113">
        <v>14.96</v>
      </c>
      <c r="L9" s="117">
        <v>15</v>
      </c>
      <c r="M9" s="118" t="str">
        <f t="shared" si="4"/>
        <v>X</v>
      </c>
      <c r="N9" s="119" t="str">
        <f t="shared" si="5"/>
        <v/>
      </c>
      <c r="O9" s="113">
        <v>14.98</v>
      </c>
      <c r="P9" s="117">
        <v>15</v>
      </c>
      <c r="Q9" s="114" t="str">
        <f t="shared" si="6"/>
        <v>X</v>
      </c>
      <c r="R9" s="119" t="str">
        <f t="shared" si="7"/>
        <v/>
      </c>
      <c r="S9" s="113">
        <v>14.98</v>
      </c>
      <c r="T9" s="117">
        <v>15</v>
      </c>
      <c r="U9" s="114" t="str">
        <f t="shared" si="8"/>
        <v>X</v>
      </c>
      <c r="V9" s="119" t="str">
        <f t="shared" si="9"/>
        <v/>
      </c>
      <c r="W9" s="113">
        <v>14.96</v>
      </c>
      <c r="X9" s="117">
        <v>15</v>
      </c>
      <c r="Y9" s="114" t="str">
        <f t="shared" si="10"/>
        <v>X</v>
      </c>
      <c r="Z9" s="119" t="str">
        <f t="shared" si="11"/>
        <v/>
      </c>
      <c r="AA9" s="113">
        <v>14.96</v>
      </c>
      <c r="AB9" s="117">
        <v>15</v>
      </c>
      <c r="AC9" s="114" t="str">
        <f t="shared" si="12"/>
        <v>X</v>
      </c>
      <c r="AD9" s="119" t="str">
        <f t="shared" si="13"/>
        <v/>
      </c>
      <c r="AE9" s="113">
        <v>14.96</v>
      </c>
      <c r="AF9" s="117">
        <v>15</v>
      </c>
      <c r="AG9" s="114" t="str">
        <f t="shared" si="14"/>
        <v>X</v>
      </c>
      <c r="AH9" s="119" t="str">
        <f t="shared" si="15"/>
        <v/>
      </c>
      <c r="AI9" s="113">
        <v>14.96</v>
      </c>
      <c r="AJ9" s="117">
        <v>15</v>
      </c>
      <c r="AK9" s="114" t="str">
        <f t="shared" si="16"/>
        <v>X</v>
      </c>
      <c r="AL9" s="119" t="str">
        <f t="shared" si="17"/>
        <v/>
      </c>
      <c r="AM9" s="113">
        <v>14.96</v>
      </c>
      <c r="AN9" s="117">
        <v>15</v>
      </c>
      <c r="AO9" s="114" t="str">
        <f t="shared" si="18"/>
        <v>X</v>
      </c>
      <c r="AP9" s="119" t="str">
        <f t="shared" si="19"/>
        <v/>
      </c>
      <c r="AQ9" s="113">
        <v>14.96</v>
      </c>
      <c r="AR9" s="117">
        <v>15</v>
      </c>
      <c r="AS9" s="114" t="str">
        <f t="shared" si="20"/>
        <v>X</v>
      </c>
      <c r="AT9" s="119" t="str">
        <f t="shared" si="21"/>
        <v/>
      </c>
      <c r="AU9" s="113">
        <v>14.96</v>
      </c>
      <c r="AV9" s="117">
        <v>15</v>
      </c>
      <c r="AW9" s="114" t="str">
        <f t="shared" si="22"/>
        <v>X</v>
      </c>
      <c r="AX9" s="119" t="str">
        <f t="shared" si="23"/>
        <v/>
      </c>
      <c r="AY9" s="113">
        <v>14.96</v>
      </c>
      <c r="AZ9" s="117">
        <v>15</v>
      </c>
      <c r="BA9" s="114" t="str">
        <f t="shared" si="24"/>
        <v>X</v>
      </c>
      <c r="BB9" s="119" t="str">
        <f t="shared" si="25"/>
        <v/>
      </c>
      <c r="BC9" s="113">
        <v>14.96</v>
      </c>
      <c r="BD9" s="117">
        <v>15</v>
      </c>
      <c r="BE9" s="114" t="str">
        <f t="shared" si="26"/>
        <v>X</v>
      </c>
      <c r="BF9" s="119" t="str">
        <f t="shared" si="27"/>
        <v/>
      </c>
      <c r="BG9" s="113">
        <v>14.96</v>
      </c>
      <c r="BH9" s="117">
        <v>15</v>
      </c>
      <c r="BI9" s="114" t="str">
        <f t="shared" si="28"/>
        <v>X</v>
      </c>
      <c r="BJ9" s="119" t="str">
        <f t="shared" si="29"/>
        <v/>
      </c>
      <c r="BK9" s="113">
        <v>14.96</v>
      </c>
      <c r="BL9" s="117">
        <v>15</v>
      </c>
      <c r="BM9" s="114" t="str">
        <f t="shared" si="30"/>
        <v>X</v>
      </c>
      <c r="BN9" s="119" t="str">
        <f t="shared" si="31"/>
        <v/>
      </c>
    </row>
    <row r="10" spans="1:66" ht="13" thickBot="1" x14ac:dyDescent="0.3">
      <c r="A10" s="110">
        <v>20</v>
      </c>
      <c r="B10" s="111">
        <v>5.0000000000000001E-3</v>
      </c>
      <c r="C10" s="113">
        <v>19.98</v>
      </c>
      <c r="D10" s="117">
        <v>20</v>
      </c>
      <c r="E10" s="118" t="str">
        <f t="shared" si="0"/>
        <v>X</v>
      </c>
      <c r="F10" s="119" t="str">
        <f t="shared" si="1"/>
        <v/>
      </c>
      <c r="G10" s="113">
        <v>19.96</v>
      </c>
      <c r="H10" s="117">
        <v>20</v>
      </c>
      <c r="I10" s="118" t="str">
        <f t="shared" si="2"/>
        <v>X</v>
      </c>
      <c r="J10" s="119" t="str">
        <f t="shared" si="3"/>
        <v/>
      </c>
      <c r="K10" s="113">
        <v>19.96</v>
      </c>
      <c r="L10" s="117">
        <v>20</v>
      </c>
      <c r="M10" s="118" t="str">
        <f t="shared" si="4"/>
        <v>X</v>
      </c>
      <c r="N10" s="119" t="str">
        <f t="shared" si="5"/>
        <v/>
      </c>
      <c r="O10" s="113">
        <v>19.98</v>
      </c>
      <c r="P10" s="117">
        <v>20</v>
      </c>
      <c r="Q10" s="114" t="str">
        <f t="shared" si="6"/>
        <v>X</v>
      </c>
      <c r="R10" s="119" t="str">
        <f t="shared" si="7"/>
        <v/>
      </c>
      <c r="S10" s="113">
        <v>19.96</v>
      </c>
      <c r="T10" s="117">
        <v>20</v>
      </c>
      <c r="U10" s="114" t="str">
        <f t="shared" si="8"/>
        <v>X</v>
      </c>
      <c r="V10" s="119" t="str">
        <f t="shared" si="9"/>
        <v/>
      </c>
      <c r="W10" s="113">
        <v>19.96</v>
      </c>
      <c r="X10" s="117">
        <v>20</v>
      </c>
      <c r="Y10" s="114" t="str">
        <f t="shared" si="10"/>
        <v>X</v>
      </c>
      <c r="Z10" s="119" t="str">
        <f t="shared" si="11"/>
        <v/>
      </c>
      <c r="AA10" s="113">
        <v>19.96</v>
      </c>
      <c r="AB10" s="117">
        <v>20</v>
      </c>
      <c r="AC10" s="114" t="str">
        <f t="shared" si="12"/>
        <v>X</v>
      </c>
      <c r="AD10" s="119" t="str">
        <f t="shared" si="13"/>
        <v/>
      </c>
      <c r="AE10" s="113">
        <v>19.96</v>
      </c>
      <c r="AF10" s="117">
        <v>20</v>
      </c>
      <c r="AG10" s="114" t="str">
        <f t="shared" si="14"/>
        <v>X</v>
      </c>
      <c r="AH10" s="119" t="str">
        <f t="shared" si="15"/>
        <v/>
      </c>
      <c r="AI10" s="113">
        <v>19.96</v>
      </c>
      <c r="AJ10" s="117">
        <v>20</v>
      </c>
      <c r="AK10" s="114" t="str">
        <f t="shared" si="16"/>
        <v>X</v>
      </c>
      <c r="AL10" s="119" t="str">
        <f t="shared" si="17"/>
        <v/>
      </c>
      <c r="AM10" s="113">
        <v>19.96</v>
      </c>
      <c r="AN10" s="117">
        <v>20</v>
      </c>
      <c r="AO10" s="114" t="str">
        <f t="shared" si="18"/>
        <v>X</v>
      </c>
      <c r="AP10" s="154"/>
      <c r="AQ10" s="113">
        <v>19.96</v>
      </c>
      <c r="AR10" s="117">
        <v>20</v>
      </c>
      <c r="AS10" s="114" t="str">
        <f t="shared" si="20"/>
        <v>X</v>
      </c>
      <c r="AT10" s="154"/>
      <c r="AU10" s="113">
        <v>19.96</v>
      </c>
      <c r="AV10" s="117">
        <v>20</v>
      </c>
      <c r="AW10" s="114" t="str">
        <f t="shared" si="22"/>
        <v>X</v>
      </c>
      <c r="AX10" s="154"/>
      <c r="AY10" s="113">
        <v>19.96</v>
      </c>
      <c r="AZ10" s="117">
        <v>20</v>
      </c>
      <c r="BA10" s="114" t="str">
        <f t="shared" si="24"/>
        <v>X</v>
      </c>
      <c r="BB10" s="154"/>
      <c r="BC10" s="113">
        <v>19.96</v>
      </c>
      <c r="BD10" s="117">
        <v>20</v>
      </c>
      <c r="BE10" s="114" t="str">
        <f t="shared" si="26"/>
        <v>X</v>
      </c>
      <c r="BF10" s="119" t="str">
        <f t="shared" si="27"/>
        <v/>
      </c>
      <c r="BG10" s="113">
        <v>19.96</v>
      </c>
      <c r="BH10" s="117">
        <v>20</v>
      </c>
      <c r="BI10" s="114" t="str">
        <f t="shared" si="28"/>
        <v>X</v>
      </c>
      <c r="BJ10" s="154"/>
      <c r="BK10" s="113">
        <v>19.96</v>
      </c>
      <c r="BL10" s="117">
        <v>20</v>
      </c>
      <c r="BM10" s="114" t="str">
        <f t="shared" si="30"/>
        <v>X</v>
      </c>
      <c r="BN10" s="154"/>
    </row>
    <row r="11" spans="1:66" ht="13" thickBot="1" x14ac:dyDescent="0.3">
      <c r="A11" s="110">
        <v>25</v>
      </c>
      <c r="B11" s="111">
        <v>5.0000000000000001E-3</v>
      </c>
      <c r="C11" s="113">
        <v>24.96</v>
      </c>
      <c r="D11" s="117">
        <v>25</v>
      </c>
      <c r="E11" s="118" t="str">
        <f t="shared" si="0"/>
        <v>X</v>
      </c>
      <c r="F11" s="119" t="str">
        <f t="shared" si="1"/>
        <v/>
      </c>
      <c r="G11" s="113">
        <v>24.96</v>
      </c>
      <c r="H11" s="117">
        <v>25</v>
      </c>
      <c r="I11" s="118" t="str">
        <f t="shared" si="2"/>
        <v>X</v>
      </c>
      <c r="J11" s="119" t="str">
        <f t="shared" si="3"/>
        <v/>
      </c>
      <c r="K11" s="113">
        <v>24.96</v>
      </c>
      <c r="L11" s="117">
        <v>25</v>
      </c>
      <c r="M11" s="118" t="str">
        <f t="shared" si="4"/>
        <v>X</v>
      </c>
      <c r="N11" s="119" t="str">
        <f t="shared" si="5"/>
        <v/>
      </c>
      <c r="O11" s="113">
        <v>24.96</v>
      </c>
      <c r="P11" s="117">
        <v>25</v>
      </c>
      <c r="Q11" s="114" t="str">
        <f t="shared" si="6"/>
        <v>X</v>
      </c>
      <c r="R11" s="119" t="str">
        <f t="shared" si="7"/>
        <v/>
      </c>
      <c r="S11" s="113">
        <v>24.96</v>
      </c>
      <c r="T11" s="117">
        <v>25</v>
      </c>
      <c r="U11" s="114" t="str">
        <f t="shared" si="8"/>
        <v>X</v>
      </c>
      <c r="V11" s="119" t="str">
        <f t="shared" si="9"/>
        <v/>
      </c>
      <c r="W11" s="113">
        <v>24.96</v>
      </c>
      <c r="X11" s="117">
        <v>25</v>
      </c>
      <c r="Y11" s="114" t="str">
        <f t="shared" si="10"/>
        <v>X</v>
      </c>
      <c r="Z11" s="119" t="str">
        <f t="shared" si="11"/>
        <v/>
      </c>
      <c r="AA11" s="113">
        <v>24.96</v>
      </c>
      <c r="AB11" s="117">
        <v>25</v>
      </c>
      <c r="AC11" s="114" t="str">
        <f t="shared" si="12"/>
        <v>X</v>
      </c>
      <c r="AD11" s="119" t="str">
        <f t="shared" si="13"/>
        <v/>
      </c>
      <c r="AE11" s="113">
        <v>24.96</v>
      </c>
      <c r="AF11" s="117">
        <v>25</v>
      </c>
      <c r="AG11" s="114" t="str">
        <f t="shared" si="14"/>
        <v>X</v>
      </c>
      <c r="AH11" s="119" t="str">
        <f t="shared" si="15"/>
        <v/>
      </c>
      <c r="AI11" s="113">
        <v>24.96</v>
      </c>
      <c r="AJ11" s="117">
        <v>25</v>
      </c>
      <c r="AK11" s="114" t="str">
        <f t="shared" si="16"/>
        <v>X</v>
      </c>
      <c r="AL11" s="119" t="str">
        <f t="shared" si="17"/>
        <v/>
      </c>
      <c r="AM11" s="113">
        <v>24.96</v>
      </c>
      <c r="AN11" s="117">
        <v>25</v>
      </c>
      <c r="AO11" s="114" t="str">
        <f t="shared" si="18"/>
        <v>X</v>
      </c>
      <c r="AP11" s="154"/>
      <c r="AQ11" s="113">
        <v>24.96</v>
      </c>
      <c r="AR11" s="117">
        <v>25</v>
      </c>
      <c r="AS11" s="114" t="str">
        <f t="shared" si="20"/>
        <v>X</v>
      </c>
      <c r="AT11" s="154"/>
      <c r="AU11" s="113">
        <v>24.96</v>
      </c>
      <c r="AV11" s="117">
        <v>25</v>
      </c>
      <c r="AW11" s="114" t="str">
        <f t="shared" si="22"/>
        <v>X</v>
      </c>
      <c r="AX11" s="154"/>
      <c r="AY11" s="113">
        <v>24.96</v>
      </c>
      <c r="AZ11" s="117">
        <v>25</v>
      </c>
      <c r="BA11" s="114" t="str">
        <f t="shared" si="24"/>
        <v>X</v>
      </c>
      <c r="BB11" s="154"/>
      <c r="BC11" s="113">
        <v>24.96</v>
      </c>
      <c r="BD11" s="117">
        <v>25</v>
      </c>
      <c r="BE11" s="114" t="str">
        <f t="shared" si="26"/>
        <v>X</v>
      </c>
      <c r="BF11" s="119" t="str">
        <f t="shared" si="27"/>
        <v/>
      </c>
      <c r="BG11" s="113">
        <v>24.96</v>
      </c>
      <c r="BH11" s="117">
        <v>25</v>
      </c>
      <c r="BI11" s="114" t="str">
        <f t="shared" si="28"/>
        <v>X</v>
      </c>
      <c r="BJ11" s="154"/>
      <c r="BK11" s="113">
        <v>24.96</v>
      </c>
      <c r="BL11" s="117">
        <v>25</v>
      </c>
      <c r="BM11" s="114" t="str">
        <f t="shared" si="30"/>
        <v>X</v>
      </c>
      <c r="BN11" s="154"/>
    </row>
    <row r="12" spans="1:66" ht="13" thickBot="1" x14ac:dyDescent="0.3">
      <c r="A12" s="110">
        <v>30</v>
      </c>
      <c r="B12" s="111">
        <v>5.0000000000000001E-3</v>
      </c>
      <c r="C12" s="113">
        <v>29.96</v>
      </c>
      <c r="D12" s="117">
        <v>30</v>
      </c>
      <c r="E12" s="118" t="str">
        <f t="shared" si="0"/>
        <v>X</v>
      </c>
      <c r="F12" s="119" t="str">
        <f t="shared" si="1"/>
        <v/>
      </c>
      <c r="G12" s="113">
        <v>29.94</v>
      </c>
      <c r="H12" s="117">
        <v>30</v>
      </c>
      <c r="I12" s="118" t="str">
        <f t="shared" si="2"/>
        <v>X</v>
      </c>
      <c r="J12" s="119" t="str">
        <f t="shared" si="3"/>
        <v/>
      </c>
      <c r="K12" s="113">
        <v>29.94</v>
      </c>
      <c r="L12" s="117">
        <v>30</v>
      </c>
      <c r="M12" s="118" t="str">
        <f t="shared" si="4"/>
        <v>X</v>
      </c>
      <c r="N12" s="119" t="str">
        <f t="shared" si="5"/>
        <v/>
      </c>
      <c r="O12" s="113">
        <v>29.96</v>
      </c>
      <c r="P12" s="117">
        <v>30</v>
      </c>
      <c r="Q12" s="114" t="str">
        <f t="shared" si="6"/>
        <v>X</v>
      </c>
      <c r="R12" s="119" t="str">
        <f t="shared" si="7"/>
        <v/>
      </c>
      <c r="S12" s="113">
        <v>29.94</v>
      </c>
      <c r="T12" s="117">
        <v>30</v>
      </c>
      <c r="U12" s="114" t="str">
        <f t="shared" si="8"/>
        <v>X</v>
      </c>
      <c r="V12" s="119" t="str">
        <f t="shared" si="9"/>
        <v/>
      </c>
      <c r="W12" s="113">
        <v>29.96</v>
      </c>
      <c r="X12" s="117">
        <v>30</v>
      </c>
      <c r="Y12" s="114" t="str">
        <f t="shared" si="10"/>
        <v>X</v>
      </c>
      <c r="Z12" s="119" t="str">
        <f t="shared" si="11"/>
        <v/>
      </c>
      <c r="AA12" s="113">
        <v>29.96</v>
      </c>
      <c r="AB12" s="117">
        <v>30</v>
      </c>
      <c r="AC12" s="114" t="str">
        <f t="shared" si="12"/>
        <v>X</v>
      </c>
      <c r="AD12" s="119" t="str">
        <f t="shared" si="13"/>
        <v/>
      </c>
      <c r="AE12" s="113">
        <v>29.96</v>
      </c>
      <c r="AF12" s="117">
        <v>30</v>
      </c>
      <c r="AG12" s="114" t="str">
        <f t="shared" si="14"/>
        <v>X</v>
      </c>
      <c r="AH12" s="119" t="str">
        <f t="shared" si="15"/>
        <v/>
      </c>
      <c r="AI12" s="113">
        <v>29.96</v>
      </c>
      <c r="AJ12" s="117">
        <v>30</v>
      </c>
      <c r="AK12" s="114" t="str">
        <f t="shared" si="16"/>
        <v>X</v>
      </c>
      <c r="AL12" s="119" t="str">
        <f t="shared" si="17"/>
        <v/>
      </c>
      <c r="AM12" s="113">
        <v>29.96</v>
      </c>
      <c r="AN12" s="117">
        <v>30</v>
      </c>
      <c r="AO12" s="114" t="str">
        <f t="shared" si="18"/>
        <v>X</v>
      </c>
      <c r="AP12" s="154"/>
      <c r="AQ12" s="113">
        <v>29.96</v>
      </c>
      <c r="AR12" s="117">
        <v>30</v>
      </c>
      <c r="AS12" s="114" t="str">
        <f t="shared" si="20"/>
        <v>X</v>
      </c>
      <c r="AT12" s="154"/>
      <c r="AU12" s="113">
        <v>29.96</v>
      </c>
      <c r="AV12" s="117">
        <v>30</v>
      </c>
      <c r="AW12" s="114" t="str">
        <f t="shared" si="22"/>
        <v>X</v>
      </c>
      <c r="AX12" s="154"/>
      <c r="AY12" s="113">
        <v>29.96</v>
      </c>
      <c r="AZ12" s="117">
        <v>30</v>
      </c>
      <c r="BA12" s="114" t="str">
        <f t="shared" si="24"/>
        <v>X</v>
      </c>
      <c r="BB12" s="154"/>
      <c r="BC12" s="113">
        <v>29.96</v>
      </c>
      <c r="BD12" s="117">
        <v>30</v>
      </c>
      <c r="BE12" s="114" t="str">
        <f t="shared" si="26"/>
        <v>X</v>
      </c>
      <c r="BF12" s="119" t="str">
        <f t="shared" si="27"/>
        <v/>
      </c>
      <c r="BG12" s="113">
        <v>29.96</v>
      </c>
      <c r="BH12" s="117">
        <v>30</v>
      </c>
      <c r="BI12" s="114" t="str">
        <f t="shared" si="28"/>
        <v>X</v>
      </c>
      <c r="BJ12" s="154"/>
      <c r="BK12" s="113">
        <v>29.96</v>
      </c>
      <c r="BL12" s="117">
        <v>30</v>
      </c>
      <c r="BM12" s="114" t="str">
        <f t="shared" si="30"/>
        <v>X</v>
      </c>
      <c r="BN12" s="154"/>
    </row>
    <row r="13" spans="1:66" ht="13" thickBot="1" x14ac:dyDescent="0.3">
      <c r="A13" s="110">
        <v>35</v>
      </c>
      <c r="B13" s="111">
        <v>5.0000000000000001E-3</v>
      </c>
      <c r="C13" s="113">
        <v>34.96</v>
      </c>
      <c r="D13" s="117">
        <v>35</v>
      </c>
      <c r="E13" s="118" t="str">
        <f t="shared" si="0"/>
        <v>X</v>
      </c>
      <c r="F13" s="119" t="str">
        <f t="shared" si="1"/>
        <v/>
      </c>
      <c r="G13" s="113">
        <v>34.94</v>
      </c>
      <c r="H13" s="117">
        <v>35</v>
      </c>
      <c r="I13" s="118" t="str">
        <f t="shared" si="2"/>
        <v>X</v>
      </c>
      <c r="J13" s="119" t="str">
        <f t="shared" si="3"/>
        <v/>
      </c>
      <c r="K13" s="113">
        <v>34.94</v>
      </c>
      <c r="L13" s="117">
        <v>35</v>
      </c>
      <c r="M13" s="118" t="str">
        <f t="shared" si="4"/>
        <v>X</v>
      </c>
      <c r="N13" s="119" t="str">
        <f t="shared" si="5"/>
        <v/>
      </c>
      <c r="O13" s="113">
        <v>34.94</v>
      </c>
      <c r="P13" s="117">
        <v>35</v>
      </c>
      <c r="Q13" s="114" t="str">
        <f t="shared" si="6"/>
        <v>X</v>
      </c>
      <c r="R13" s="119" t="str">
        <f t="shared" si="7"/>
        <v/>
      </c>
      <c r="S13" s="113">
        <v>34.94</v>
      </c>
      <c r="T13" s="117">
        <v>35</v>
      </c>
      <c r="U13" s="114" t="str">
        <f t="shared" si="8"/>
        <v>X</v>
      </c>
      <c r="V13" s="119" t="str">
        <f t="shared" si="9"/>
        <v/>
      </c>
      <c r="W13" s="113">
        <v>34.94</v>
      </c>
      <c r="X13" s="117">
        <v>35</v>
      </c>
      <c r="Y13" s="114" t="str">
        <f t="shared" si="10"/>
        <v>X</v>
      </c>
      <c r="Z13" s="119" t="str">
        <f t="shared" si="11"/>
        <v/>
      </c>
      <c r="AA13" s="113">
        <v>34.94</v>
      </c>
      <c r="AB13" s="117">
        <v>35</v>
      </c>
      <c r="AC13" s="114" t="str">
        <f t="shared" si="12"/>
        <v>X</v>
      </c>
      <c r="AD13" s="119" t="str">
        <f t="shared" si="13"/>
        <v/>
      </c>
      <c r="AE13" s="113">
        <v>34.94</v>
      </c>
      <c r="AF13" s="117">
        <v>35</v>
      </c>
      <c r="AG13" s="114" t="str">
        <f t="shared" si="14"/>
        <v>X</v>
      </c>
      <c r="AH13" s="119" t="str">
        <f t="shared" si="15"/>
        <v/>
      </c>
      <c r="AI13" s="113">
        <v>34.94</v>
      </c>
      <c r="AJ13" s="117">
        <v>35</v>
      </c>
      <c r="AK13" s="114" t="str">
        <f t="shared" si="16"/>
        <v>X</v>
      </c>
      <c r="AL13" s="119" t="str">
        <f t="shared" si="17"/>
        <v/>
      </c>
      <c r="AM13" s="113">
        <v>34.94</v>
      </c>
      <c r="AN13" s="117">
        <v>35</v>
      </c>
      <c r="AO13" s="114" t="str">
        <f t="shared" si="18"/>
        <v>X</v>
      </c>
      <c r="AP13" s="51"/>
      <c r="AQ13" s="113">
        <v>34.94</v>
      </c>
      <c r="AR13" s="117">
        <v>35</v>
      </c>
      <c r="AS13" s="114" t="str">
        <f t="shared" si="20"/>
        <v>X</v>
      </c>
      <c r="AT13" s="51"/>
      <c r="AU13" s="113">
        <v>34.94</v>
      </c>
      <c r="AV13" s="117">
        <v>35</v>
      </c>
      <c r="AW13" s="114" t="str">
        <f t="shared" si="22"/>
        <v>X</v>
      </c>
      <c r="AX13" s="51"/>
      <c r="AY13" s="113">
        <v>34.94</v>
      </c>
      <c r="AZ13" s="117">
        <v>35</v>
      </c>
      <c r="BA13" s="114" t="str">
        <f t="shared" si="24"/>
        <v>X</v>
      </c>
      <c r="BB13" s="51"/>
      <c r="BC13" s="113">
        <v>34.94</v>
      </c>
      <c r="BD13" s="117">
        <v>35</v>
      </c>
      <c r="BE13" s="114" t="str">
        <f t="shared" si="26"/>
        <v>X</v>
      </c>
      <c r="BF13" s="119" t="str">
        <f t="shared" si="27"/>
        <v/>
      </c>
      <c r="BG13" s="113">
        <v>34.94</v>
      </c>
      <c r="BH13" s="117">
        <v>35</v>
      </c>
      <c r="BI13" s="114" t="str">
        <f t="shared" si="28"/>
        <v>X</v>
      </c>
      <c r="BJ13" s="51"/>
      <c r="BK13" s="113">
        <v>34.94</v>
      </c>
      <c r="BL13" s="117">
        <v>35</v>
      </c>
      <c r="BM13" s="114" t="str">
        <f t="shared" si="30"/>
        <v>X</v>
      </c>
      <c r="BN13" s="51"/>
    </row>
    <row r="14" spans="1:66" ht="13" thickBot="1" x14ac:dyDescent="0.3">
      <c r="A14" s="156"/>
      <c r="B14" s="152"/>
      <c r="C14" s="157"/>
      <c r="D14" s="155"/>
      <c r="E14" s="51"/>
      <c r="F14" s="154"/>
      <c r="G14" s="51"/>
      <c r="H14" s="155"/>
      <c r="I14" s="51"/>
      <c r="J14" s="154"/>
      <c r="K14" s="51"/>
      <c r="L14" s="155"/>
      <c r="M14" s="51"/>
      <c r="N14" s="154"/>
      <c r="O14" s="51"/>
      <c r="P14" s="155"/>
      <c r="Q14" s="51"/>
      <c r="R14" s="154"/>
      <c r="S14" s="51"/>
      <c r="T14" s="155"/>
      <c r="U14" s="51"/>
      <c r="V14" s="154"/>
      <c r="W14" s="51"/>
      <c r="X14" s="155"/>
      <c r="Y14" s="51"/>
      <c r="Z14" s="51"/>
      <c r="AA14" s="51"/>
      <c r="AB14" s="155"/>
      <c r="AC14" s="51"/>
      <c r="AD14" s="51"/>
      <c r="AE14" s="51"/>
      <c r="AF14" s="155"/>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119"/>
      <c r="BG14" s="51"/>
      <c r="BH14" s="51"/>
      <c r="BI14" s="51"/>
      <c r="BJ14" s="51"/>
      <c r="BK14" s="51"/>
      <c r="BL14" s="51"/>
      <c r="BM14" s="51"/>
      <c r="BN14" s="51"/>
    </row>
    <row r="15" spans="1:66" ht="16.5" customHeight="1" thickBot="1" x14ac:dyDescent="0.4">
      <c r="A15" s="285" t="s">
        <v>60</v>
      </c>
      <c r="B15" s="286"/>
      <c r="C15" s="286"/>
      <c r="D15" s="286"/>
      <c r="E15" s="286"/>
      <c r="F15" s="286"/>
      <c r="G15" s="286"/>
      <c r="H15" s="286"/>
      <c r="I15" s="286"/>
      <c r="J15" s="286"/>
      <c r="K15" s="286"/>
      <c r="L15" s="286"/>
      <c r="M15" s="286"/>
      <c r="N15" s="286"/>
      <c r="O15" s="286"/>
      <c r="P15" s="286"/>
      <c r="Q15" s="286"/>
      <c r="R15" s="286"/>
      <c r="S15" s="286"/>
      <c r="T15" s="286"/>
      <c r="U15" s="286"/>
      <c r="V15" s="286"/>
      <c r="W15" s="286"/>
      <c r="X15" s="286"/>
      <c r="Y15" s="286"/>
      <c r="Z15" s="287"/>
      <c r="AA15" s="51"/>
      <c r="AB15" s="51"/>
      <c r="AC15" s="51"/>
      <c r="AD15" s="51"/>
      <c r="AE15" s="51"/>
      <c r="AF15" s="51"/>
      <c r="AG15" s="51"/>
      <c r="AH15" s="51"/>
      <c r="AI15" s="51"/>
      <c r="AJ15" s="51"/>
      <c r="AK15" s="51"/>
      <c r="AL15" s="285" t="s">
        <v>60</v>
      </c>
      <c r="AM15" s="286"/>
      <c r="AN15" s="286"/>
      <c r="AO15" s="286"/>
      <c r="AP15" s="286"/>
      <c r="AQ15" s="286"/>
      <c r="AR15" s="286"/>
      <c r="AS15" s="286"/>
      <c r="AT15" s="286"/>
      <c r="AU15" s="286"/>
      <c r="AV15" s="286"/>
      <c r="AW15" s="286"/>
      <c r="AX15" s="286"/>
      <c r="AY15" s="286"/>
      <c r="AZ15" s="286"/>
      <c r="BA15" s="286"/>
      <c r="BB15" s="286"/>
      <c r="BC15" s="286"/>
      <c r="BD15" s="286"/>
      <c r="BE15" s="286"/>
      <c r="BF15" s="286"/>
      <c r="BG15" s="286"/>
      <c r="BH15" s="286"/>
      <c r="BI15" s="286"/>
      <c r="BJ15" s="286"/>
      <c r="BK15" s="286"/>
      <c r="BL15" s="286"/>
      <c r="BM15" s="286"/>
      <c r="BN15" s="287"/>
    </row>
    <row r="16" spans="1:66" ht="13.5" customHeight="1" thickBot="1" x14ac:dyDescent="0.3">
      <c r="A16" s="293" t="s">
        <v>39</v>
      </c>
      <c r="B16" s="296" t="s">
        <v>20</v>
      </c>
      <c r="C16" s="288" t="s">
        <v>33</v>
      </c>
      <c r="D16" s="289"/>
      <c r="E16" s="289"/>
      <c r="F16" s="290"/>
      <c r="G16" s="288" t="s">
        <v>34</v>
      </c>
      <c r="H16" s="289"/>
      <c r="I16" s="289"/>
      <c r="J16" s="290"/>
      <c r="K16" s="288" t="s">
        <v>35</v>
      </c>
      <c r="L16" s="289"/>
      <c r="M16" s="289"/>
      <c r="N16" s="290"/>
      <c r="O16" s="288" t="s">
        <v>36</v>
      </c>
      <c r="P16" s="289"/>
      <c r="Q16" s="289"/>
      <c r="R16" s="290"/>
      <c r="S16" s="288" t="s">
        <v>38</v>
      </c>
      <c r="T16" s="289"/>
      <c r="U16" s="289"/>
      <c r="V16" s="290"/>
      <c r="W16" s="288" t="s">
        <v>37</v>
      </c>
      <c r="X16" s="289"/>
      <c r="Y16" s="289"/>
      <c r="Z16" s="290"/>
      <c r="AA16" s="288" t="s">
        <v>54</v>
      </c>
      <c r="AB16" s="289"/>
      <c r="AC16" s="289"/>
      <c r="AD16" s="290"/>
      <c r="AE16" s="288" t="s">
        <v>55</v>
      </c>
      <c r="AF16" s="289"/>
      <c r="AG16" s="289"/>
      <c r="AH16" s="290"/>
      <c r="AI16" s="288" t="s">
        <v>56</v>
      </c>
      <c r="AJ16" s="289"/>
      <c r="AK16" s="289"/>
      <c r="AL16" s="290"/>
      <c r="AM16" s="288" t="s">
        <v>57</v>
      </c>
      <c r="AN16" s="289"/>
      <c r="AO16" s="289"/>
      <c r="AP16" s="290"/>
      <c r="AQ16" s="288" t="s">
        <v>58</v>
      </c>
      <c r="AR16" s="289"/>
      <c r="AS16" s="289"/>
      <c r="AT16" s="290"/>
      <c r="AU16" s="288" t="s">
        <v>59</v>
      </c>
      <c r="AV16" s="289"/>
      <c r="AW16" s="289"/>
      <c r="AX16" s="290"/>
      <c r="AY16" s="288" t="s">
        <v>61</v>
      </c>
      <c r="AZ16" s="289"/>
      <c r="BA16" s="289"/>
      <c r="BB16" s="290"/>
      <c r="BC16" s="288" t="s">
        <v>62</v>
      </c>
      <c r="BD16" s="289"/>
      <c r="BE16" s="289"/>
      <c r="BF16" s="290"/>
      <c r="BG16" s="288" t="s">
        <v>63</v>
      </c>
      <c r="BH16" s="289"/>
      <c r="BI16" s="289"/>
      <c r="BJ16" s="290"/>
      <c r="BK16" s="288" t="s">
        <v>64</v>
      </c>
      <c r="BL16" s="289"/>
      <c r="BM16" s="289"/>
      <c r="BN16" s="290"/>
    </row>
    <row r="17" spans="1:66" s="27" customFormat="1" ht="13.5" customHeight="1" x14ac:dyDescent="0.25">
      <c r="A17" s="294"/>
      <c r="B17" s="297"/>
      <c r="C17" s="291" t="s">
        <v>41</v>
      </c>
      <c r="D17" s="281" t="s">
        <v>40</v>
      </c>
      <c r="E17" s="281" t="s">
        <v>0</v>
      </c>
      <c r="F17" s="283" t="s">
        <v>1</v>
      </c>
      <c r="G17" s="291" t="s">
        <v>41</v>
      </c>
      <c r="H17" s="281" t="s">
        <v>40</v>
      </c>
      <c r="I17" s="281" t="s">
        <v>0</v>
      </c>
      <c r="J17" s="283" t="s">
        <v>1</v>
      </c>
      <c r="K17" s="291" t="s">
        <v>41</v>
      </c>
      <c r="L17" s="281" t="s">
        <v>40</v>
      </c>
      <c r="M17" s="281" t="s">
        <v>0</v>
      </c>
      <c r="N17" s="283" t="s">
        <v>1</v>
      </c>
      <c r="O17" s="291" t="s">
        <v>41</v>
      </c>
      <c r="P17" s="281" t="s">
        <v>40</v>
      </c>
      <c r="Q17" s="281" t="s">
        <v>0</v>
      </c>
      <c r="R17" s="283" t="s">
        <v>1</v>
      </c>
      <c r="S17" s="291" t="s">
        <v>41</v>
      </c>
      <c r="T17" s="281" t="s">
        <v>40</v>
      </c>
      <c r="U17" s="281" t="s">
        <v>0</v>
      </c>
      <c r="V17" s="283" t="s">
        <v>1</v>
      </c>
      <c r="W17" s="291" t="s">
        <v>41</v>
      </c>
      <c r="X17" s="281" t="s">
        <v>40</v>
      </c>
      <c r="Y17" s="281" t="s">
        <v>0</v>
      </c>
      <c r="Z17" s="283" t="s">
        <v>1</v>
      </c>
      <c r="AA17" s="291" t="s">
        <v>41</v>
      </c>
      <c r="AB17" s="281" t="s">
        <v>40</v>
      </c>
      <c r="AC17" s="281" t="s">
        <v>0</v>
      </c>
      <c r="AD17" s="283" t="s">
        <v>1</v>
      </c>
      <c r="AE17" s="291" t="s">
        <v>41</v>
      </c>
      <c r="AF17" s="281" t="s">
        <v>40</v>
      </c>
      <c r="AG17" s="281" t="s">
        <v>0</v>
      </c>
      <c r="AH17" s="283" t="s">
        <v>1</v>
      </c>
      <c r="AI17" s="291" t="s">
        <v>41</v>
      </c>
      <c r="AJ17" s="281" t="s">
        <v>40</v>
      </c>
      <c r="AK17" s="281" t="s">
        <v>0</v>
      </c>
      <c r="AL17" s="283" t="s">
        <v>1</v>
      </c>
      <c r="AM17" s="291" t="s">
        <v>41</v>
      </c>
      <c r="AN17" s="281" t="s">
        <v>40</v>
      </c>
      <c r="AO17" s="281" t="s">
        <v>0</v>
      </c>
      <c r="AP17" s="283" t="s">
        <v>1</v>
      </c>
      <c r="AQ17" s="291" t="s">
        <v>41</v>
      </c>
      <c r="AR17" s="281" t="s">
        <v>40</v>
      </c>
      <c r="AS17" s="281" t="s">
        <v>0</v>
      </c>
      <c r="AT17" s="283" t="s">
        <v>1</v>
      </c>
      <c r="AU17" s="291" t="s">
        <v>41</v>
      </c>
      <c r="AV17" s="281" t="s">
        <v>40</v>
      </c>
      <c r="AW17" s="281" t="s">
        <v>0</v>
      </c>
      <c r="AX17" s="283" t="s">
        <v>1</v>
      </c>
      <c r="AY17" s="291" t="s">
        <v>41</v>
      </c>
      <c r="AZ17" s="281" t="s">
        <v>40</v>
      </c>
      <c r="BA17" s="281" t="s">
        <v>0</v>
      </c>
      <c r="BB17" s="283" t="s">
        <v>1</v>
      </c>
      <c r="BC17" s="291" t="s">
        <v>41</v>
      </c>
      <c r="BD17" s="281" t="s">
        <v>40</v>
      </c>
      <c r="BE17" s="281" t="s">
        <v>0</v>
      </c>
      <c r="BF17" s="283" t="s">
        <v>1</v>
      </c>
      <c r="BG17" s="291" t="s">
        <v>41</v>
      </c>
      <c r="BH17" s="281" t="s">
        <v>40</v>
      </c>
      <c r="BI17" s="281" t="s">
        <v>0</v>
      </c>
      <c r="BJ17" s="283" t="s">
        <v>1</v>
      </c>
      <c r="BK17" s="291" t="s">
        <v>41</v>
      </c>
      <c r="BL17" s="281" t="s">
        <v>40</v>
      </c>
      <c r="BM17" s="281" t="s">
        <v>0</v>
      </c>
      <c r="BN17" s="283" t="s">
        <v>1</v>
      </c>
    </row>
    <row r="18" spans="1:66" s="27" customFormat="1" ht="12.75" customHeight="1" x14ac:dyDescent="0.25">
      <c r="A18" s="295"/>
      <c r="B18" s="298"/>
      <c r="C18" s="292"/>
      <c r="D18" s="282"/>
      <c r="E18" s="282"/>
      <c r="F18" s="284"/>
      <c r="G18" s="292"/>
      <c r="H18" s="282"/>
      <c r="I18" s="282"/>
      <c r="J18" s="284"/>
      <c r="K18" s="292"/>
      <c r="L18" s="282"/>
      <c r="M18" s="282"/>
      <c r="N18" s="284"/>
      <c r="O18" s="292"/>
      <c r="P18" s="282"/>
      <c r="Q18" s="282"/>
      <c r="R18" s="284"/>
      <c r="S18" s="292"/>
      <c r="T18" s="282"/>
      <c r="U18" s="282"/>
      <c r="V18" s="284"/>
      <c r="W18" s="292"/>
      <c r="X18" s="282"/>
      <c r="Y18" s="282"/>
      <c r="Z18" s="284"/>
      <c r="AA18" s="292"/>
      <c r="AB18" s="282"/>
      <c r="AC18" s="282"/>
      <c r="AD18" s="284"/>
      <c r="AE18" s="292"/>
      <c r="AF18" s="282"/>
      <c r="AG18" s="282"/>
      <c r="AH18" s="284"/>
      <c r="AI18" s="292"/>
      <c r="AJ18" s="282"/>
      <c r="AK18" s="282"/>
      <c r="AL18" s="284"/>
      <c r="AM18" s="292"/>
      <c r="AN18" s="282"/>
      <c r="AO18" s="282"/>
      <c r="AP18" s="284"/>
      <c r="AQ18" s="292"/>
      <c r="AR18" s="282"/>
      <c r="AS18" s="282"/>
      <c r="AT18" s="284"/>
      <c r="AU18" s="292"/>
      <c r="AV18" s="282"/>
      <c r="AW18" s="282"/>
      <c r="AX18" s="284"/>
      <c r="AY18" s="292"/>
      <c r="AZ18" s="282"/>
      <c r="BA18" s="282"/>
      <c r="BB18" s="284"/>
      <c r="BC18" s="292"/>
      <c r="BD18" s="282"/>
      <c r="BE18" s="282"/>
      <c r="BF18" s="284"/>
      <c r="BG18" s="292"/>
      <c r="BH18" s="282"/>
      <c r="BI18" s="282"/>
      <c r="BJ18" s="284"/>
      <c r="BK18" s="292"/>
      <c r="BL18" s="282"/>
      <c r="BM18" s="282"/>
      <c r="BN18" s="284"/>
    </row>
    <row r="19" spans="1:66" s="27" customFormat="1" ht="12.75" customHeight="1" thickBot="1" x14ac:dyDescent="0.3">
      <c r="A19" s="136" t="s">
        <v>4</v>
      </c>
      <c r="B19" s="137" t="s">
        <v>5</v>
      </c>
      <c r="C19" s="133" t="s">
        <v>4</v>
      </c>
      <c r="D19" s="134" t="s">
        <v>4</v>
      </c>
      <c r="E19" s="134"/>
      <c r="F19" s="135"/>
      <c r="G19" s="133"/>
      <c r="H19" s="134"/>
      <c r="I19" s="134"/>
      <c r="J19" s="135"/>
      <c r="K19" s="133"/>
      <c r="L19" s="134"/>
      <c r="M19" s="134"/>
      <c r="N19" s="135"/>
      <c r="O19" s="133"/>
      <c r="P19" s="134"/>
      <c r="Q19" s="134"/>
      <c r="R19" s="135"/>
      <c r="S19" s="133"/>
      <c r="T19" s="134"/>
      <c r="U19" s="134"/>
      <c r="V19" s="135"/>
      <c r="W19" s="133"/>
      <c r="X19" s="134"/>
      <c r="Y19" s="134"/>
      <c r="Z19" s="135"/>
      <c r="AA19" s="133"/>
      <c r="AB19" s="134"/>
      <c r="AC19" s="134"/>
      <c r="AD19" s="135"/>
      <c r="AE19" s="133"/>
      <c r="AF19" s="134"/>
      <c r="AG19" s="134"/>
      <c r="AH19" s="135"/>
      <c r="AI19" s="133"/>
      <c r="AJ19" s="134"/>
      <c r="AK19" s="134"/>
      <c r="AL19" s="135"/>
      <c r="AM19" s="133"/>
      <c r="AN19" s="134"/>
      <c r="AO19" s="134"/>
      <c r="AP19" s="135"/>
      <c r="AQ19" s="133"/>
      <c r="AR19" s="134"/>
      <c r="AS19" s="134"/>
      <c r="AT19" s="135"/>
      <c r="AU19" s="133"/>
      <c r="AV19" s="134"/>
      <c r="AW19" s="134"/>
      <c r="AX19" s="135"/>
      <c r="AY19" s="133"/>
      <c r="AZ19" s="134"/>
      <c r="BA19" s="134"/>
      <c r="BB19" s="135"/>
      <c r="BC19" s="133"/>
      <c r="BD19" s="134"/>
      <c r="BE19" s="134"/>
      <c r="BF19" s="135"/>
      <c r="BG19" s="133"/>
      <c r="BH19" s="134"/>
      <c r="BI19" s="134"/>
      <c r="BJ19" s="135"/>
      <c r="BK19" s="133"/>
      <c r="BL19" s="134"/>
      <c r="BM19" s="134"/>
      <c r="BN19" s="135"/>
    </row>
    <row r="20" spans="1:66" x14ac:dyDescent="0.25">
      <c r="A20" s="110">
        <v>9</v>
      </c>
      <c r="B20" s="111">
        <v>5.0000000000000001E-3</v>
      </c>
      <c r="C20" s="113">
        <v>9.0220000000000002</v>
      </c>
      <c r="D20" s="113">
        <v>9.01</v>
      </c>
      <c r="E20" s="114" t="str">
        <f t="shared" ref="E20:E23" si="32">IF(C20&lt;&gt;"",IF(AND(C20&gt;=(D20-(D20*$B20)),C20&lt;=(D20+(D20*$B20))),"X",""),"")</f>
        <v>X</v>
      </c>
      <c r="F20" s="115" t="str">
        <f t="shared" ref="F20:F23" si="33">IF(NOT(E20="X"),"X","")</f>
        <v/>
      </c>
      <c r="G20" s="113">
        <v>9.0220000000000002</v>
      </c>
      <c r="H20" s="113">
        <v>9.01</v>
      </c>
      <c r="I20" s="114" t="str">
        <f t="shared" ref="I20:I23" si="34">IF(G20&lt;&gt;"",IF(AND(G20&gt;=(H20-(H20*$B20)),G20&lt;=(H20+(H20*$B20))),"X",""),"")</f>
        <v>X</v>
      </c>
      <c r="J20" s="115" t="str">
        <f t="shared" ref="J20:J23" si="35">IF(NOT(I20="X"),"X","")</f>
        <v/>
      </c>
      <c r="K20" s="113">
        <v>3.5139999999999998</v>
      </c>
      <c r="L20" s="113">
        <v>3.5089999999999999</v>
      </c>
      <c r="M20" s="114" t="str">
        <f t="shared" ref="M20:M23" si="36">IF(K20&lt;&gt;"",IF(AND(K20&gt;=(L20-(L20*$B20)),K20&lt;=(L20+(L20*$B20))),"X",""),"")</f>
        <v>X</v>
      </c>
      <c r="N20" s="115" t="str">
        <f t="shared" ref="N20:N23" si="37">IF(NOT(M20="X"),"X","")</f>
        <v/>
      </c>
      <c r="O20" s="113">
        <v>1.6779999999999999</v>
      </c>
      <c r="P20" s="113">
        <v>1.67</v>
      </c>
      <c r="Q20" s="114" t="str">
        <f t="shared" ref="Q20:Q23" si="38">IF(O20&lt;&gt;"",IF(AND(O20&gt;=(P20-(P20*$B20)),O20&lt;=(P20+(P20*$B20))),"X",""),"")</f>
        <v>X</v>
      </c>
      <c r="R20" s="115" t="str">
        <f t="shared" ref="R20:R23" si="39">IF(NOT(Q20="X"),"X","")</f>
        <v/>
      </c>
      <c r="S20" s="113">
        <v>6.8579999999999997</v>
      </c>
      <c r="T20" s="113">
        <v>6.86</v>
      </c>
      <c r="U20" s="114" t="str">
        <f t="shared" ref="U20:U23" si="40">IF(S20&lt;&gt;"",IF(AND(S20&gt;=(T20-(T20*$B20)),S20&lt;=(T20+(T20*$B20))),"X",""),"")</f>
        <v>X</v>
      </c>
      <c r="V20" s="115" t="str">
        <f t="shared" ref="V20:V23" si="41">IF(NOT(U20="X"),"X","")</f>
        <v/>
      </c>
      <c r="W20" s="113">
        <v>6.3860000000000001</v>
      </c>
      <c r="X20" s="113">
        <v>6.3979999999999997</v>
      </c>
      <c r="Y20" s="114" t="str">
        <f t="shared" ref="Y20:Y23" si="42">IF(W20&lt;&gt;"",IF(AND(W20&gt;=(X20-(X20*$B20)),W20&lt;=(X20+(X20*$B20))),"X",""),"")</f>
        <v>X</v>
      </c>
      <c r="Z20" s="115" t="str">
        <f t="shared" ref="Z20:Z23" si="43">IF(NOT(Y20="X"),"X","")</f>
        <v/>
      </c>
      <c r="AA20" s="113">
        <v>6.3659999999999997</v>
      </c>
      <c r="AB20" s="113">
        <v>6.3689999999999998</v>
      </c>
      <c r="AC20" s="114" t="str">
        <f t="shared" ref="AC20:AC23" si="44">IF(AA20&lt;&gt;"",IF(AND(AA20&gt;=(AB20-(AB20*$B20)),AA20&lt;=(AB20+(AB20*$B20))),"X",""),"")</f>
        <v>X</v>
      </c>
      <c r="AD20" s="115" t="str">
        <f t="shared" ref="AD20:AD23" si="45">IF(NOT(AC20="X"),"X","")</f>
        <v/>
      </c>
      <c r="AE20" s="113">
        <v>6.3460000000000001</v>
      </c>
      <c r="AF20" s="113">
        <v>6.36</v>
      </c>
      <c r="AG20" s="114" t="str">
        <f t="shared" ref="AG20:AG23" si="46">IF(AE20&lt;&gt;"",IF(AND(AE20&gt;=(AF20-(AF20*$B20)),AE20&lt;=(AF20+(AF20*$B20))),"X",""),"")</f>
        <v>X</v>
      </c>
      <c r="AH20" s="115" t="str">
        <f t="shared" ref="AH20:AH23" si="47">IF(NOT(AG20="X"),"X","")</f>
        <v/>
      </c>
      <c r="AI20" s="113">
        <v>6.3460000000000001</v>
      </c>
      <c r="AJ20" s="113">
        <v>6.3559999999999999</v>
      </c>
      <c r="AK20" s="114" t="str">
        <f t="shared" ref="AK20:AK23" si="48">IF(AI20&lt;&gt;"",IF(AND(AI20&gt;=(AJ20-(AJ20*$B20)),AI20&lt;=(AJ20+(AJ20*$B20))),"X",""),"")</f>
        <v>X</v>
      </c>
      <c r="AL20" s="115" t="str">
        <f t="shared" ref="AL20:AL23" si="49">IF(NOT(AK20="X"),"X","")</f>
        <v/>
      </c>
      <c r="AM20" s="113">
        <v>6.444</v>
      </c>
      <c r="AN20" s="113">
        <v>6.4379999999999997</v>
      </c>
      <c r="AO20" s="114" t="str">
        <f t="shared" ref="AO20:AO23" si="50">IF(AM20&lt;&gt;"",IF(AND(AM20&gt;=(AN20-(AN20*$B20)),AM20&lt;=(AN20+(AN20*$B20))),"X",""),"")</f>
        <v>X</v>
      </c>
      <c r="AP20" s="115" t="str">
        <f t="shared" ref="AP20:AP23" si="51">IF(NOT(AO20="X"),"X","")</f>
        <v/>
      </c>
      <c r="AQ20" s="113">
        <v>6.4240000000000004</v>
      </c>
      <c r="AR20" s="113">
        <v>6.45</v>
      </c>
      <c r="AS20" s="114" t="str">
        <f t="shared" ref="AS20:AS23" si="52">IF(AQ20&lt;&gt;"",IF(AND(AQ20&gt;=(AR20-(AR20*$B20)),AQ20&lt;=(AR20+(AR20*$B20))),"X",""),"")</f>
        <v>X</v>
      </c>
      <c r="AT20" s="115" t="str">
        <f t="shared" ref="AT20:AT23" si="53">IF(NOT(AS20="X"),"X","")</f>
        <v/>
      </c>
      <c r="AU20" s="113">
        <v>6.444</v>
      </c>
      <c r="AV20" s="113">
        <v>6.4470000000000001</v>
      </c>
      <c r="AW20" s="114" t="str">
        <f t="shared" ref="AW20:AW23" si="54">IF(AU20&lt;&gt;"",IF(AND(AU20&gt;=(AV20-(AV20*$B20)),AU20&lt;=(AV20+(AV20*$B20))),"X",""),"")</f>
        <v>X</v>
      </c>
      <c r="AX20" s="115" t="str">
        <f t="shared" ref="AX20:AX23" si="55">IF(NOT(AW20="X"),"X","")</f>
        <v/>
      </c>
      <c r="AY20" s="113">
        <v>6.3460000000000001</v>
      </c>
      <c r="AZ20" s="113">
        <v>6.36</v>
      </c>
      <c r="BA20" s="114" t="str">
        <f t="shared" ref="BA20:BA23" si="56">IF(AY20&lt;&gt;"",IF(AND(AY20&gt;=(AZ20-(AZ20*$B20)),AY20&lt;=(AZ20+(AZ20*$B20))),"X",""),"")</f>
        <v>X</v>
      </c>
      <c r="BB20" s="115" t="str">
        <f t="shared" ref="BB20:BB23" si="57">IF(NOT(BA20="X"),"X","")</f>
        <v/>
      </c>
      <c r="BC20" s="113">
        <v>6.3659999999999997</v>
      </c>
      <c r="BD20" s="113">
        <v>6.3710000000000004</v>
      </c>
      <c r="BE20" s="114" t="str">
        <f t="shared" ref="BE20:BE23" si="58">IF(BC20&lt;&gt;"",IF(AND(BC20&gt;=(BD20-(BD20*$B20)),BC20&lt;=(BD20+(BD20*$B20))),"X",""),"")</f>
        <v>X</v>
      </c>
      <c r="BF20" s="115" t="str">
        <f t="shared" ref="BF20:BF23" si="59">IF(NOT(BE20="X"),"X","")</f>
        <v/>
      </c>
      <c r="BG20" s="113">
        <v>6.3460000000000001</v>
      </c>
      <c r="BH20" s="113">
        <v>6.3659999999999997</v>
      </c>
      <c r="BI20" s="114" t="str">
        <f t="shared" ref="BI20:BI23" si="60">IF(BG20&lt;&gt;"",IF(AND(BG20&gt;=(BH20-(BH20*$B20)),BG20&lt;=(BH20+(BH20*$B20))),"X",""),"")</f>
        <v>X</v>
      </c>
      <c r="BJ20" s="115" t="str">
        <f t="shared" ref="BJ20:BJ23" si="61">IF(NOT(BI20="X"),"X","")</f>
        <v/>
      </c>
      <c r="BK20" s="113">
        <v>6.3860000000000001</v>
      </c>
      <c r="BL20" s="113">
        <v>6.3970000000000002</v>
      </c>
      <c r="BM20" s="114" t="str">
        <f t="shared" ref="BM20:BM23" si="62">IF(BK20&lt;&gt;"",IF(AND(BK20&gt;=(BL20-(BL20*$B20)),BK20&lt;=(BL20+(BL20*$B20))),"X",""),"")</f>
        <v>X</v>
      </c>
      <c r="BN20" s="115" t="str">
        <f t="shared" ref="BN20:BN23" si="63">IF(NOT(BM20="X"),"X","")</f>
        <v/>
      </c>
    </row>
    <row r="21" spans="1:66" x14ac:dyDescent="0.25">
      <c r="A21" s="110">
        <v>7</v>
      </c>
      <c r="B21" s="111">
        <v>5.0000000000000001E-3</v>
      </c>
      <c r="C21" s="117">
        <v>6.9790000000000001</v>
      </c>
      <c r="D21" s="117">
        <v>7</v>
      </c>
      <c r="E21" s="118" t="str">
        <f t="shared" si="32"/>
        <v>X</v>
      </c>
      <c r="F21" s="119" t="str">
        <f t="shared" si="33"/>
        <v/>
      </c>
      <c r="G21" s="117">
        <v>6.9790000000000001</v>
      </c>
      <c r="H21" s="117">
        <v>6.9489999999999998</v>
      </c>
      <c r="I21" s="118" t="str">
        <f t="shared" si="34"/>
        <v>X</v>
      </c>
      <c r="J21" s="119" t="str">
        <f t="shared" si="35"/>
        <v/>
      </c>
      <c r="K21" s="117">
        <v>2.2559999999999998</v>
      </c>
      <c r="L21" s="117">
        <v>2.2480000000000002</v>
      </c>
      <c r="M21" s="118" t="str">
        <f t="shared" si="36"/>
        <v>X</v>
      </c>
      <c r="N21" s="119" t="str">
        <f t="shared" si="37"/>
        <v/>
      </c>
      <c r="O21" s="117">
        <v>3.0459999999999998</v>
      </c>
      <c r="P21" s="117">
        <v>3.04</v>
      </c>
      <c r="Q21" s="118" t="str">
        <f t="shared" si="38"/>
        <v>X</v>
      </c>
      <c r="R21" s="119" t="str">
        <f t="shared" si="39"/>
        <v/>
      </c>
      <c r="S21" s="117">
        <v>8.2360000000000007</v>
      </c>
      <c r="T21" s="117">
        <v>8.24</v>
      </c>
      <c r="U21" s="118" t="str">
        <f t="shared" si="40"/>
        <v>X</v>
      </c>
      <c r="V21" s="119" t="str">
        <f t="shared" si="41"/>
        <v/>
      </c>
      <c r="W21" s="117">
        <v>8.4559999999999995</v>
      </c>
      <c r="X21" s="117">
        <v>8.4600000000000009</v>
      </c>
      <c r="Y21" s="118" t="str">
        <f t="shared" si="42"/>
        <v>X</v>
      </c>
      <c r="Z21" s="119" t="str">
        <f t="shared" si="43"/>
        <v/>
      </c>
      <c r="AA21" s="117">
        <v>8.5139999999999993</v>
      </c>
      <c r="AB21" s="117">
        <v>8.51</v>
      </c>
      <c r="AC21" s="118" t="str">
        <f t="shared" si="44"/>
        <v>X</v>
      </c>
      <c r="AD21" s="119" t="str">
        <f t="shared" si="45"/>
        <v/>
      </c>
      <c r="AE21" s="117">
        <v>8.5139999999999993</v>
      </c>
      <c r="AF21" s="117">
        <v>8.52</v>
      </c>
      <c r="AG21" s="118" t="str">
        <f t="shared" si="46"/>
        <v>X</v>
      </c>
      <c r="AH21" s="119" t="str">
        <f t="shared" si="47"/>
        <v/>
      </c>
      <c r="AI21" s="117">
        <v>8.4960000000000004</v>
      </c>
      <c r="AJ21" s="117">
        <v>8.51</v>
      </c>
      <c r="AK21" s="118" t="str">
        <f t="shared" si="48"/>
        <v>X</v>
      </c>
      <c r="AL21" s="119" t="str">
        <f t="shared" si="49"/>
        <v/>
      </c>
      <c r="AM21" s="117">
        <v>8.4760000000000009</v>
      </c>
      <c r="AN21" s="117">
        <v>8.48</v>
      </c>
      <c r="AO21" s="118" t="str">
        <f t="shared" si="50"/>
        <v>X</v>
      </c>
      <c r="AP21" s="119" t="str">
        <f t="shared" si="51"/>
        <v/>
      </c>
      <c r="AQ21" s="117">
        <v>8.4740000000000002</v>
      </c>
      <c r="AR21" s="117">
        <v>8.49</v>
      </c>
      <c r="AS21" s="118" t="str">
        <f t="shared" si="52"/>
        <v>X</v>
      </c>
      <c r="AT21" s="119" t="str">
        <f t="shared" si="53"/>
        <v/>
      </c>
      <c r="AU21" s="117">
        <v>8.4760000000000009</v>
      </c>
      <c r="AV21" s="117">
        <v>8.49</v>
      </c>
      <c r="AW21" s="118" t="str">
        <f t="shared" si="54"/>
        <v>X</v>
      </c>
      <c r="AX21" s="119" t="str">
        <f t="shared" si="55"/>
        <v/>
      </c>
      <c r="AY21" s="117">
        <v>8.4960000000000004</v>
      </c>
      <c r="AZ21" s="117">
        <v>8.52</v>
      </c>
      <c r="BA21" s="118" t="str">
        <f t="shared" si="56"/>
        <v>X</v>
      </c>
      <c r="BB21" s="119" t="str">
        <f t="shared" si="57"/>
        <v/>
      </c>
      <c r="BC21" s="117">
        <v>8.5340000000000007</v>
      </c>
      <c r="BD21" s="117">
        <v>8.5299999999999994</v>
      </c>
      <c r="BE21" s="118" t="str">
        <f t="shared" si="58"/>
        <v>X</v>
      </c>
      <c r="BF21" s="119" t="str">
        <f t="shared" si="59"/>
        <v/>
      </c>
      <c r="BG21" s="117">
        <v>8.5079999999999991</v>
      </c>
      <c r="BH21" s="117">
        <v>8.52</v>
      </c>
      <c r="BI21" s="118" t="str">
        <f t="shared" si="60"/>
        <v>X</v>
      </c>
      <c r="BJ21" s="119" t="str">
        <f t="shared" si="61"/>
        <v/>
      </c>
      <c r="BK21" s="117">
        <v>8.4359999999999999</v>
      </c>
      <c r="BL21" s="117">
        <v>8.4600000000000009</v>
      </c>
      <c r="BM21" s="118" t="str">
        <f t="shared" si="62"/>
        <v>X</v>
      </c>
      <c r="BN21" s="119" t="str">
        <f t="shared" si="63"/>
        <v/>
      </c>
    </row>
    <row r="22" spans="1:66" x14ac:dyDescent="0.25">
      <c r="A22" s="110">
        <v>6</v>
      </c>
      <c r="B22" s="111">
        <v>5.0000000000000001E-3</v>
      </c>
      <c r="C22" s="117">
        <v>5.9960000000000004</v>
      </c>
      <c r="D22" s="117">
        <v>5.98</v>
      </c>
      <c r="E22" s="118" t="str">
        <f t="shared" si="32"/>
        <v>X</v>
      </c>
      <c r="F22" s="119" t="str">
        <f t="shared" si="33"/>
        <v/>
      </c>
      <c r="G22" s="117">
        <v>5.9960000000000004</v>
      </c>
      <c r="H22" s="117">
        <v>5.98</v>
      </c>
      <c r="I22" s="118" t="str">
        <f t="shared" si="34"/>
        <v>X</v>
      </c>
      <c r="J22" s="119" t="str">
        <f t="shared" si="35"/>
        <v/>
      </c>
      <c r="K22" s="117">
        <v>6.992</v>
      </c>
      <c r="L22" s="117">
        <v>7</v>
      </c>
      <c r="M22" s="118" t="str">
        <f t="shared" si="36"/>
        <v>X</v>
      </c>
      <c r="N22" s="119" t="str">
        <f t="shared" si="37"/>
        <v/>
      </c>
      <c r="O22" s="117">
        <v>6.97</v>
      </c>
      <c r="P22" s="117">
        <v>6.97</v>
      </c>
      <c r="Q22" s="118" t="str">
        <f t="shared" si="38"/>
        <v>X</v>
      </c>
      <c r="R22" s="119" t="str">
        <f t="shared" si="39"/>
        <v/>
      </c>
      <c r="S22" s="117">
        <v>9.4920000000000009</v>
      </c>
      <c r="T22" s="117">
        <v>9.5</v>
      </c>
      <c r="U22" s="118" t="str">
        <f t="shared" si="40"/>
        <v>X</v>
      </c>
      <c r="V22" s="119" t="str">
        <f t="shared" si="41"/>
        <v/>
      </c>
      <c r="W22" s="117">
        <v>12.558</v>
      </c>
      <c r="X22" s="117">
        <v>12.58</v>
      </c>
      <c r="Y22" s="118" t="str">
        <f t="shared" si="42"/>
        <v>X</v>
      </c>
      <c r="Z22" s="119" t="str">
        <f t="shared" si="43"/>
        <v/>
      </c>
      <c r="AA22" s="117">
        <v>12.635999999999999</v>
      </c>
      <c r="AB22" s="117">
        <v>12.63</v>
      </c>
      <c r="AC22" s="118" t="str">
        <f t="shared" si="44"/>
        <v>X</v>
      </c>
      <c r="AD22" s="119" t="str">
        <f t="shared" si="45"/>
        <v/>
      </c>
      <c r="AE22" s="117">
        <v>12.577999999999999</v>
      </c>
      <c r="AF22" s="117">
        <v>12.6</v>
      </c>
      <c r="AG22" s="118" t="str">
        <f t="shared" si="46"/>
        <v>X</v>
      </c>
      <c r="AH22" s="119" t="str">
        <f t="shared" si="47"/>
        <v/>
      </c>
      <c r="AI22" s="117">
        <v>12.577999999999999</v>
      </c>
      <c r="AJ22" s="117">
        <v>12.6</v>
      </c>
      <c r="AK22" s="118" t="str">
        <f t="shared" si="48"/>
        <v>X</v>
      </c>
      <c r="AL22" s="119" t="str">
        <f t="shared" si="49"/>
        <v/>
      </c>
      <c r="AM22" s="117">
        <v>12.558</v>
      </c>
      <c r="AN22" s="117">
        <v>12.57</v>
      </c>
      <c r="AO22" s="118" t="str">
        <f t="shared" si="50"/>
        <v>X</v>
      </c>
      <c r="AP22" s="119" t="str">
        <f t="shared" si="51"/>
        <v/>
      </c>
      <c r="AQ22" s="117">
        <v>12.577999999999999</v>
      </c>
      <c r="AR22" s="117">
        <v>12.61</v>
      </c>
      <c r="AS22" s="118" t="str">
        <f t="shared" si="52"/>
        <v>X</v>
      </c>
      <c r="AT22" s="119" t="str">
        <f t="shared" si="53"/>
        <v/>
      </c>
      <c r="AU22" s="117">
        <v>12.593999999999999</v>
      </c>
      <c r="AV22" s="117">
        <v>12.6</v>
      </c>
      <c r="AW22" s="118" t="str">
        <f t="shared" si="54"/>
        <v>X</v>
      </c>
      <c r="AX22" s="119" t="str">
        <f t="shared" si="55"/>
        <v/>
      </c>
      <c r="AY22" s="117">
        <v>12.596</v>
      </c>
      <c r="AZ22" s="117">
        <v>12.62</v>
      </c>
      <c r="BA22" s="118" t="str">
        <f t="shared" si="56"/>
        <v>X</v>
      </c>
      <c r="BB22" s="119" t="str">
        <f t="shared" si="57"/>
        <v/>
      </c>
      <c r="BC22" s="117">
        <v>12.558</v>
      </c>
      <c r="BD22" s="117">
        <v>12.56</v>
      </c>
      <c r="BE22" s="118" t="str">
        <f t="shared" si="58"/>
        <v>X</v>
      </c>
      <c r="BF22" s="119" t="str">
        <f t="shared" si="59"/>
        <v/>
      </c>
      <c r="BG22" s="117">
        <v>12.596</v>
      </c>
      <c r="BH22" s="117">
        <v>12.61</v>
      </c>
      <c r="BI22" s="118" t="str">
        <f t="shared" si="60"/>
        <v>X</v>
      </c>
      <c r="BJ22" s="119" t="str">
        <f t="shared" si="61"/>
        <v/>
      </c>
      <c r="BK22" s="117">
        <v>12.558</v>
      </c>
      <c r="BL22" s="117">
        <v>12.58</v>
      </c>
      <c r="BM22" s="118" t="str">
        <f t="shared" si="62"/>
        <v>X</v>
      </c>
      <c r="BN22" s="119" t="str">
        <f t="shared" si="63"/>
        <v/>
      </c>
    </row>
    <row r="23" spans="1:66" ht="13" thickBot="1" x14ac:dyDescent="0.3">
      <c r="A23" s="110">
        <v>5</v>
      </c>
      <c r="B23" s="111">
        <v>5.0000000000000001E-3</v>
      </c>
      <c r="C23" s="117">
        <v>5</v>
      </c>
      <c r="D23" s="117">
        <v>5</v>
      </c>
      <c r="E23" s="118" t="str">
        <f t="shared" si="32"/>
        <v>X</v>
      </c>
      <c r="F23" s="119" t="str">
        <f t="shared" si="33"/>
        <v/>
      </c>
      <c r="G23" s="117">
        <v>5.0179999999999998</v>
      </c>
      <c r="H23" s="117">
        <v>4.9980000000000002</v>
      </c>
      <c r="I23" s="118" t="str">
        <f t="shared" si="34"/>
        <v>X</v>
      </c>
      <c r="J23" s="119" t="str">
        <f t="shared" si="35"/>
        <v/>
      </c>
      <c r="K23" s="117">
        <v>11.97</v>
      </c>
      <c r="L23" s="117">
        <v>11.97</v>
      </c>
      <c r="M23" s="118" t="str">
        <f t="shared" si="36"/>
        <v>X</v>
      </c>
      <c r="N23" s="119" t="str">
        <f t="shared" si="37"/>
        <v/>
      </c>
      <c r="O23" s="117">
        <v>11.952</v>
      </c>
      <c r="P23" s="117">
        <v>11.96</v>
      </c>
      <c r="Q23" s="118" t="str">
        <f t="shared" si="38"/>
        <v>X</v>
      </c>
      <c r="R23" s="119" t="str">
        <f t="shared" si="39"/>
        <v/>
      </c>
      <c r="S23" s="117">
        <v>10.778</v>
      </c>
      <c r="T23" s="117">
        <v>10.78</v>
      </c>
      <c r="U23" s="118" t="str">
        <f t="shared" si="40"/>
        <v>X</v>
      </c>
      <c r="V23" s="119" t="str">
        <f t="shared" si="41"/>
        <v/>
      </c>
      <c r="W23" s="117">
        <v>15.996</v>
      </c>
      <c r="X23" s="117">
        <v>16</v>
      </c>
      <c r="Y23" s="118" t="str">
        <f t="shared" si="42"/>
        <v>X</v>
      </c>
      <c r="Z23" s="119" t="str">
        <f t="shared" si="43"/>
        <v/>
      </c>
      <c r="AA23" s="117">
        <v>15.956</v>
      </c>
      <c r="AB23" s="117">
        <v>15.96</v>
      </c>
      <c r="AC23" s="118" t="str">
        <f t="shared" si="44"/>
        <v>X</v>
      </c>
      <c r="AD23" s="119" t="str">
        <f t="shared" si="45"/>
        <v/>
      </c>
      <c r="AE23" s="117">
        <v>16.013999999999999</v>
      </c>
      <c r="AF23" s="117">
        <v>16.02</v>
      </c>
      <c r="AG23" s="118" t="str">
        <f t="shared" si="46"/>
        <v>X</v>
      </c>
      <c r="AH23" s="119" t="str">
        <f t="shared" si="47"/>
        <v/>
      </c>
      <c r="AI23" s="117">
        <v>16.012</v>
      </c>
      <c r="AJ23" s="117">
        <v>16.03</v>
      </c>
      <c r="AK23" s="118" t="str">
        <f t="shared" si="48"/>
        <v>X</v>
      </c>
      <c r="AL23" s="119" t="str">
        <f t="shared" si="49"/>
        <v/>
      </c>
      <c r="AM23" s="117">
        <v>15.996</v>
      </c>
      <c r="AN23" s="117">
        <v>16</v>
      </c>
      <c r="AO23" s="118" t="str">
        <f t="shared" si="50"/>
        <v>X</v>
      </c>
      <c r="AP23" s="119" t="str">
        <f t="shared" si="51"/>
        <v/>
      </c>
      <c r="AQ23" s="117">
        <v>15.916</v>
      </c>
      <c r="AR23" s="117">
        <v>15.95</v>
      </c>
      <c r="AS23" s="118" t="str">
        <f t="shared" si="52"/>
        <v>X</v>
      </c>
      <c r="AT23" s="119" t="str">
        <f t="shared" si="53"/>
        <v/>
      </c>
      <c r="AU23" s="117">
        <v>16.013999999999999</v>
      </c>
      <c r="AV23" s="117">
        <v>16.03</v>
      </c>
      <c r="AW23" s="118" t="str">
        <f t="shared" si="54"/>
        <v>X</v>
      </c>
      <c r="AX23" s="119" t="str">
        <f t="shared" si="55"/>
        <v/>
      </c>
      <c r="AY23" s="117">
        <v>15.936</v>
      </c>
      <c r="AZ23" s="117">
        <v>15.96</v>
      </c>
      <c r="BA23" s="118" t="str">
        <f t="shared" si="56"/>
        <v>X</v>
      </c>
      <c r="BB23" s="119" t="str">
        <f t="shared" si="57"/>
        <v/>
      </c>
      <c r="BC23" s="117">
        <v>15.996</v>
      </c>
      <c r="BD23" s="117">
        <v>16</v>
      </c>
      <c r="BE23" s="118" t="str">
        <f t="shared" si="58"/>
        <v>X</v>
      </c>
      <c r="BF23" s="119" t="str">
        <f t="shared" si="59"/>
        <v/>
      </c>
      <c r="BG23" s="117">
        <v>16.013999999999999</v>
      </c>
      <c r="BH23" s="117">
        <v>16.03</v>
      </c>
      <c r="BI23" s="118" t="str">
        <f t="shared" si="60"/>
        <v>X</v>
      </c>
      <c r="BJ23" s="119" t="str">
        <f t="shared" si="61"/>
        <v/>
      </c>
      <c r="BK23" s="117">
        <v>15.996</v>
      </c>
      <c r="BL23" s="117">
        <v>16.02</v>
      </c>
      <c r="BM23" s="118" t="str">
        <f t="shared" si="62"/>
        <v>X</v>
      </c>
      <c r="BN23" s="119" t="str">
        <f t="shared" si="63"/>
        <v/>
      </c>
    </row>
    <row r="24" spans="1:66" ht="13" thickBot="1" x14ac:dyDescent="0.3">
      <c r="A24" s="110"/>
      <c r="B24" s="111"/>
      <c r="C24" s="113"/>
      <c r="D24" s="117"/>
      <c r="E24" s="114"/>
      <c r="F24" s="119"/>
      <c r="G24" s="113"/>
      <c r="H24" s="117"/>
      <c r="I24" s="114"/>
      <c r="J24" s="119"/>
      <c r="K24" s="113"/>
      <c r="L24" s="117"/>
      <c r="M24" s="114"/>
      <c r="N24" s="119"/>
      <c r="O24" s="113"/>
      <c r="P24" s="117"/>
      <c r="Q24" s="114"/>
      <c r="R24" s="119"/>
      <c r="S24" s="113"/>
      <c r="T24" s="117"/>
      <c r="U24" s="114"/>
      <c r="V24" s="119"/>
      <c r="W24" s="113"/>
      <c r="X24" s="117"/>
      <c r="Y24" s="114"/>
      <c r="Z24" s="119"/>
      <c r="AA24" s="113"/>
      <c r="AB24" s="117"/>
      <c r="AC24" s="114"/>
      <c r="AD24" s="119"/>
      <c r="AE24" s="113"/>
      <c r="AF24" s="117"/>
      <c r="AG24" s="114"/>
      <c r="AH24" s="119"/>
      <c r="AI24" s="113"/>
      <c r="AJ24" s="117"/>
      <c r="AK24" s="114"/>
      <c r="AL24" s="51"/>
      <c r="AM24" s="113"/>
      <c r="AN24" s="117"/>
      <c r="AO24" s="114"/>
      <c r="AP24" s="51"/>
      <c r="AQ24" s="113"/>
      <c r="AR24" s="117"/>
      <c r="AS24" s="114"/>
      <c r="AT24" s="51"/>
      <c r="AU24" s="113"/>
      <c r="AV24" s="117"/>
      <c r="AW24" s="114"/>
      <c r="AX24" s="51"/>
      <c r="AY24" s="113"/>
      <c r="AZ24" s="117"/>
      <c r="BA24" s="114"/>
      <c r="BB24" s="51"/>
      <c r="BC24" s="113"/>
      <c r="BD24" s="117"/>
      <c r="BE24" s="114"/>
      <c r="BF24" s="51"/>
      <c r="BG24" s="113"/>
      <c r="BH24" s="117"/>
      <c r="BI24" s="114"/>
      <c r="BJ24" s="51"/>
      <c r="BK24" s="113"/>
      <c r="BL24" s="117"/>
      <c r="BM24" s="114"/>
      <c r="BN24" s="51"/>
    </row>
    <row r="25" spans="1:66" ht="13" thickBot="1" x14ac:dyDescent="0.3">
      <c r="A25" s="110"/>
      <c r="B25" s="111"/>
      <c r="C25" s="113"/>
      <c r="D25" s="117"/>
      <c r="E25" s="114"/>
      <c r="F25" s="119"/>
      <c r="G25" s="113"/>
      <c r="H25" s="117"/>
      <c r="I25" s="114"/>
      <c r="J25" s="119"/>
      <c r="K25" s="113"/>
      <c r="L25" s="117"/>
      <c r="M25" s="114"/>
      <c r="N25" s="119"/>
      <c r="O25" s="113"/>
      <c r="P25" s="117"/>
      <c r="Q25" s="114"/>
      <c r="R25" s="119"/>
      <c r="S25" s="113"/>
      <c r="T25" s="117"/>
      <c r="U25" s="114"/>
      <c r="V25" s="119"/>
      <c r="W25" s="113"/>
      <c r="X25" s="117"/>
      <c r="Y25" s="114"/>
      <c r="Z25" s="119"/>
      <c r="AA25" s="113"/>
      <c r="AB25" s="117"/>
      <c r="AC25" s="114"/>
      <c r="AD25" s="119"/>
      <c r="AE25" s="113"/>
      <c r="AF25" s="117"/>
      <c r="AG25" s="114"/>
      <c r="AH25" s="119"/>
      <c r="AI25" s="113"/>
      <c r="AJ25" s="117"/>
      <c r="AK25" s="114"/>
      <c r="AL25" s="51"/>
      <c r="AM25" s="113"/>
      <c r="AN25" s="117"/>
      <c r="AO25" s="114"/>
      <c r="AP25" s="51"/>
      <c r="AQ25" s="113"/>
      <c r="AR25" s="117"/>
      <c r="AS25" s="114"/>
      <c r="AT25" s="51"/>
      <c r="AU25" s="113"/>
      <c r="AV25" s="117"/>
      <c r="AW25" s="114"/>
      <c r="AX25" s="51"/>
      <c r="AY25" s="113"/>
      <c r="AZ25" s="117"/>
      <c r="BA25" s="114"/>
      <c r="BB25" s="51"/>
      <c r="BC25" s="113"/>
      <c r="BD25" s="117"/>
      <c r="BE25" s="114"/>
      <c r="BF25" s="51"/>
      <c r="BG25" s="113"/>
      <c r="BH25" s="117"/>
      <c r="BI25" s="114"/>
      <c r="BJ25" s="51"/>
      <c r="BK25" s="113"/>
      <c r="BL25" s="117"/>
      <c r="BM25" s="114"/>
      <c r="BN25" s="51"/>
    </row>
    <row r="26" spans="1:66" ht="13" thickBot="1" x14ac:dyDescent="0.3">
      <c r="A26" s="110"/>
      <c r="B26" s="111"/>
      <c r="C26" s="113"/>
      <c r="D26" s="117"/>
      <c r="E26" s="114"/>
      <c r="F26" s="119"/>
      <c r="G26" s="113"/>
      <c r="H26" s="117"/>
      <c r="I26" s="114"/>
      <c r="J26" s="119"/>
      <c r="K26" s="113"/>
      <c r="L26" s="117"/>
      <c r="M26" s="114"/>
      <c r="N26" s="119"/>
      <c r="O26" s="113"/>
      <c r="P26" s="117"/>
      <c r="Q26" s="114"/>
      <c r="R26" s="119"/>
      <c r="S26" s="113"/>
      <c r="T26" s="117"/>
      <c r="U26" s="114"/>
      <c r="V26" s="119"/>
      <c r="W26" s="113"/>
      <c r="X26" s="117"/>
      <c r="Y26" s="114"/>
      <c r="Z26" s="119"/>
      <c r="AA26" s="113"/>
      <c r="AB26" s="117"/>
      <c r="AC26" s="114"/>
      <c r="AD26" s="119"/>
      <c r="AE26" s="113"/>
      <c r="AF26" s="117"/>
      <c r="AG26" s="114"/>
      <c r="AH26" s="119"/>
      <c r="AI26" s="113"/>
      <c r="AJ26" s="117"/>
      <c r="AK26" s="114"/>
      <c r="AL26" s="51"/>
      <c r="AM26" s="113"/>
      <c r="AN26" s="117"/>
      <c r="AO26" s="114"/>
      <c r="AP26" s="51"/>
      <c r="AQ26" s="113"/>
      <c r="AR26" s="117"/>
      <c r="AS26" s="114"/>
      <c r="AT26" s="51"/>
      <c r="AU26" s="113"/>
      <c r="AV26" s="117"/>
      <c r="AW26" s="114"/>
      <c r="AX26" s="51"/>
      <c r="AY26" s="113"/>
      <c r="AZ26" s="117"/>
      <c r="BA26" s="114"/>
      <c r="BB26" s="51"/>
      <c r="BC26" s="113"/>
      <c r="BD26" s="117"/>
      <c r="BE26" s="114"/>
      <c r="BF26" s="51"/>
      <c r="BG26" s="113"/>
      <c r="BH26" s="117"/>
      <c r="BI26" s="114"/>
      <c r="BJ26" s="51"/>
      <c r="BK26" s="113"/>
      <c r="BL26" s="117"/>
      <c r="BM26" s="114"/>
      <c r="BN26" s="51"/>
    </row>
    <row r="27" spans="1:66" x14ac:dyDescent="0.25">
      <c r="A27" s="110"/>
      <c r="B27" s="111"/>
      <c r="C27" s="113"/>
      <c r="D27" s="117"/>
      <c r="E27" s="114"/>
      <c r="F27" s="119"/>
      <c r="G27" s="113"/>
      <c r="H27" s="117"/>
      <c r="I27" s="114"/>
      <c r="J27" s="119"/>
      <c r="K27" s="113"/>
      <c r="L27" s="117"/>
      <c r="M27" s="114"/>
      <c r="N27" s="119"/>
      <c r="O27" s="113"/>
      <c r="P27" s="117"/>
      <c r="Q27" s="114"/>
      <c r="R27" s="119"/>
      <c r="S27" s="113"/>
      <c r="T27" s="117"/>
      <c r="U27" s="114"/>
      <c r="V27" s="119"/>
      <c r="W27" s="113"/>
      <c r="X27" s="117"/>
      <c r="Y27" s="114"/>
      <c r="Z27" s="119"/>
      <c r="AA27" s="113"/>
      <c r="AB27" s="117"/>
      <c r="AC27" s="114"/>
      <c r="AD27" s="119"/>
      <c r="AE27" s="113"/>
      <c r="AF27" s="117"/>
      <c r="AG27" s="114"/>
      <c r="AH27" s="119"/>
      <c r="AI27" s="113"/>
      <c r="AJ27" s="117"/>
      <c r="AK27" s="114"/>
      <c r="AL27" s="51"/>
      <c r="AM27" s="113"/>
      <c r="AN27" s="117"/>
      <c r="AO27" s="114"/>
      <c r="AP27" s="51"/>
      <c r="AQ27" s="113"/>
      <c r="AR27" s="117"/>
      <c r="AS27" s="114"/>
      <c r="AT27" s="51"/>
      <c r="AU27" s="113"/>
      <c r="AV27" s="117"/>
      <c r="AW27" s="114"/>
      <c r="AX27" s="51"/>
      <c r="AY27" s="113"/>
      <c r="AZ27" s="117"/>
      <c r="BA27" s="114"/>
      <c r="BB27" s="51"/>
      <c r="BC27" s="113"/>
      <c r="BD27" s="117"/>
      <c r="BE27" s="114"/>
      <c r="BF27" s="51"/>
      <c r="BG27" s="113"/>
      <c r="BH27" s="117"/>
      <c r="BI27" s="114"/>
      <c r="BJ27" s="51"/>
      <c r="BK27" s="113"/>
      <c r="BL27" s="117"/>
      <c r="BM27" s="114"/>
      <c r="BN27" s="51"/>
    </row>
    <row r="28" spans="1:66" x14ac:dyDescent="0.25">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row>
    <row r="30" spans="1:66" x14ac:dyDescent="0.25">
      <c r="B30" s="29"/>
    </row>
  </sheetData>
  <mergeCells count="168">
    <mergeCell ref="BN3:BN4"/>
    <mergeCell ref="BG3:BG4"/>
    <mergeCell ref="BH3:BH4"/>
    <mergeCell ref="BI3:BI4"/>
    <mergeCell ref="BJ3:BJ4"/>
    <mergeCell ref="BK3:BK4"/>
    <mergeCell ref="BL3:BL4"/>
    <mergeCell ref="BA3:BA4"/>
    <mergeCell ref="BB3:BB4"/>
    <mergeCell ref="BC3:BC4"/>
    <mergeCell ref="BD3:BD4"/>
    <mergeCell ref="BE3:BE4"/>
    <mergeCell ref="BF3:BF4"/>
    <mergeCell ref="BC2:BF2"/>
    <mergeCell ref="BG2:BJ2"/>
    <mergeCell ref="BK2:BN2"/>
    <mergeCell ref="AY3:AY4"/>
    <mergeCell ref="AZ3:AZ4"/>
    <mergeCell ref="BM17:BM18"/>
    <mergeCell ref="BN17:BN18"/>
    <mergeCell ref="BG16:BJ16"/>
    <mergeCell ref="BK16:BN16"/>
    <mergeCell ref="BG17:BG18"/>
    <mergeCell ref="BH17:BH18"/>
    <mergeCell ref="BI17:BI18"/>
    <mergeCell ref="BJ17:BJ18"/>
    <mergeCell ref="BK17:BK18"/>
    <mergeCell ref="BL17:BL18"/>
    <mergeCell ref="BC16:BF16"/>
    <mergeCell ref="AY17:AY18"/>
    <mergeCell ref="AZ17:AZ18"/>
    <mergeCell ref="BA17:BA18"/>
    <mergeCell ref="BB17:BB18"/>
    <mergeCell ref="BC17:BC18"/>
    <mergeCell ref="BD17:BD18"/>
    <mergeCell ref="BE17:BE18"/>
    <mergeCell ref="BM3:BM4"/>
    <mergeCell ref="AY16:BB16"/>
    <mergeCell ref="AN17:AN18"/>
    <mergeCell ref="AO17:AO18"/>
    <mergeCell ref="AP17:AP18"/>
    <mergeCell ref="AQ17:AQ18"/>
    <mergeCell ref="AR17:AR18"/>
    <mergeCell ref="AS17:AS18"/>
    <mergeCell ref="AU16:AX16"/>
    <mergeCell ref="AY2:BB2"/>
    <mergeCell ref="AL17:AL18"/>
    <mergeCell ref="AM17:AM18"/>
    <mergeCell ref="AB17:AB18"/>
    <mergeCell ref="AC17:AC18"/>
    <mergeCell ref="AD17:AD18"/>
    <mergeCell ref="AE17:AE18"/>
    <mergeCell ref="AF17:AF18"/>
    <mergeCell ref="AG17:AG18"/>
    <mergeCell ref="BF17:BF18"/>
    <mergeCell ref="AT17:AT18"/>
    <mergeCell ref="AU17:AU18"/>
    <mergeCell ref="AV17:AV18"/>
    <mergeCell ref="AW17:AW18"/>
    <mergeCell ref="AX17:AX18"/>
    <mergeCell ref="W17:W18"/>
    <mergeCell ref="X17:X18"/>
    <mergeCell ref="Y17:Y18"/>
    <mergeCell ref="Z17:Z18"/>
    <mergeCell ref="AA17:AA18"/>
    <mergeCell ref="AH17:AH18"/>
    <mergeCell ref="AI17:AI18"/>
    <mergeCell ref="AJ17:AJ18"/>
    <mergeCell ref="AK17:AK18"/>
    <mergeCell ref="W16:Z16"/>
    <mergeCell ref="AA16:AD16"/>
    <mergeCell ref="AE16:AH16"/>
    <mergeCell ref="AI16:AL16"/>
    <mergeCell ref="AM16:AP16"/>
    <mergeCell ref="AQ16:AT16"/>
    <mergeCell ref="AQ2:AT2"/>
    <mergeCell ref="AU2:AX2"/>
    <mergeCell ref="AQ3:AQ4"/>
    <mergeCell ref="AR3:AR4"/>
    <mergeCell ref="AS3:AS4"/>
    <mergeCell ref="AT3:AT4"/>
    <mergeCell ref="AU3:AU4"/>
    <mergeCell ref="AV3:AV4"/>
    <mergeCell ref="AW3:AW4"/>
    <mergeCell ref="AX3:AX4"/>
    <mergeCell ref="AI2:AL2"/>
    <mergeCell ref="AM2:AP2"/>
    <mergeCell ref="AI3:AI4"/>
    <mergeCell ref="AJ3:AJ4"/>
    <mergeCell ref="AK3:AK4"/>
    <mergeCell ref="AL3:AL4"/>
    <mergeCell ref="AM3:AM4"/>
    <mergeCell ref="AN3:AN4"/>
    <mergeCell ref="T3:T4"/>
    <mergeCell ref="U3:U4"/>
    <mergeCell ref="V3:V4"/>
    <mergeCell ref="AO3:AO4"/>
    <mergeCell ref="AP3:AP4"/>
    <mergeCell ref="AE2:AH2"/>
    <mergeCell ref="AA3:AA4"/>
    <mergeCell ref="AB3:AB4"/>
    <mergeCell ref="AC3:AC4"/>
    <mergeCell ref="AD3:AD4"/>
    <mergeCell ref="AE3:AE4"/>
    <mergeCell ref="AF3:AF4"/>
    <mergeCell ref="AG3:AG4"/>
    <mergeCell ref="AH3:AH4"/>
    <mergeCell ref="S16:V16"/>
    <mergeCell ref="Q17:Q18"/>
    <mergeCell ref="R17:R18"/>
    <mergeCell ref="K17:K18"/>
    <mergeCell ref="L17:L18"/>
    <mergeCell ref="M17:M18"/>
    <mergeCell ref="N17:N18"/>
    <mergeCell ref="O17:O18"/>
    <mergeCell ref="P17:P18"/>
    <mergeCell ref="S17:S18"/>
    <mergeCell ref="T17:T18"/>
    <mergeCell ref="U17:U18"/>
    <mergeCell ref="V17:V18"/>
    <mergeCell ref="E17:E18"/>
    <mergeCell ref="F17:F18"/>
    <mergeCell ref="G17:G18"/>
    <mergeCell ref="H17:H18"/>
    <mergeCell ref="I17:I18"/>
    <mergeCell ref="J17:J18"/>
    <mergeCell ref="R3:R4"/>
    <mergeCell ref="A15:Z15"/>
    <mergeCell ref="A16:A18"/>
    <mergeCell ref="B16:B18"/>
    <mergeCell ref="C16:F16"/>
    <mergeCell ref="G16:J16"/>
    <mergeCell ref="K16:N16"/>
    <mergeCell ref="O16:R16"/>
    <mergeCell ref="C17:C18"/>
    <mergeCell ref="D17:D18"/>
    <mergeCell ref="L3:L4"/>
    <mergeCell ref="M3:M4"/>
    <mergeCell ref="N3:N4"/>
    <mergeCell ref="O3:O4"/>
    <mergeCell ref="P3:P4"/>
    <mergeCell ref="Q3:Q4"/>
    <mergeCell ref="F3:F4"/>
    <mergeCell ref="G3:G4"/>
    <mergeCell ref="AL1:BN1"/>
    <mergeCell ref="AL15:BN15"/>
    <mergeCell ref="H3:H4"/>
    <mergeCell ref="I3:I4"/>
    <mergeCell ref="J3:J4"/>
    <mergeCell ref="K3:K4"/>
    <mergeCell ref="A1:Z1"/>
    <mergeCell ref="A2:A4"/>
    <mergeCell ref="B2:B4"/>
    <mergeCell ref="C2:F2"/>
    <mergeCell ref="G2:J2"/>
    <mergeCell ref="K2:N2"/>
    <mergeCell ref="O2:R2"/>
    <mergeCell ref="C3:C4"/>
    <mergeCell ref="D3:D4"/>
    <mergeCell ref="E3:E4"/>
    <mergeCell ref="W2:Z2"/>
    <mergeCell ref="W3:W4"/>
    <mergeCell ref="X3:X4"/>
    <mergeCell ref="Y3:Y4"/>
    <mergeCell ref="Z3:Z4"/>
    <mergeCell ref="AA2:AD2"/>
    <mergeCell ref="S2:V2"/>
    <mergeCell ref="S3:S4"/>
  </mergeCells>
  <phoneticPr fontId="24" type="noConversion"/>
  <conditionalFormatting sqref="E6:E13 I6:I13 M6:M13 Q6:Q13">
    <cfRule type="cellIs" dxfId="33" priority="29" stopIfTrue="1" operator="equal">
      <formula>"X"</formula>
    </cfRule>
  </conditionalFormatting>
  <conditionalFormatting sqref="E20:E27 I20:I27 M20:M27 Q20:Q27">
    <cfRule type="cellIs" dxfId="32" priority="9" stopIfTrue="1" operator="equal">
      <formula>"X"</formula>
    </cfRule>
  </conditionalFormatting>
  <conditionalFormatting sqref="F6:F14 J6:J14 N6:N14 R6:R14">
    <cfRule type="cellIs" dxfId="31" priority="30" stopIfTrue="1" operator="equal">
      <formula>"X"</formula>
    </cfRule>
  </conditionalFormatting>
  <conditionalFormatting sqref="F20:F27 J20:J27 N20:N27 R20:R27">
    <cfRule type="cellIs" dxfId="30" priority="10" stopIfTrue="1" operator="equal">
      <formula>"X"</formula>
    </cfRule>
  </conditionalFormatting>
  <conditionalFormatting sqref="U6:U13 AC6:AC13 AK6:AK13 AS6:AS13">
    <cfRule type="cellIs" dxfId="29" priority="27" stopIfTrue="1" operator="equal">
      <formula>"X"</formula>
    </cfRule>
  </conditionalFormatting>
  <conditionalFormatting sqref="U20:U27 AC20:AC27 AK20:AK27 AS20:AS27">
    <cfRule type="cellIs" dxfId="28" priority="7" stopIfTrue="1" operator="equal">
      <formula>"X"</formula>
    </cfRule>
  </conditionalFormatting>
  <conditionalFormatting sqref="Y6:Y13 AG6:AG13 AO6:AO13 AW6:AW13">
    <cfRule type="cellIs" dxfId="27" priority="25" stopIfTrue="1" operator="equal">
      <formula>"X"</formula>
    </cfRule>
  </conditionalFormatting>
  <conditionalFormatting sqref="Y20:Y27 AG20:AG27 AO20:AO27 AW20:AW27">
    <cfRule type="cellIs" dxfId="26" priority="5" stopIfTrue="1" operator="equal">
      <formula>"X"</formula>
    </cfRule>
  </conditionalFormatting>
  <conditionalFormatting sqref="AL20:AL23 AT20:AT23 V20:V27 AD20:AD27">
    <cfRule type="cellIs" dxfId="25" priority="8" stopIfTrue="1" operator="equal">
      <formula>"X"</formula>
    </cfRule>
  </conditionalFormatting>
  <conditionalFormatting sqref="AP6:AP12 AX6:AX12 Z6:Z13 AH6:AH13">
    <cfRule type="cellIs" dxfId="24" priority="26" stopIfTrue="1" operator="equal">
      <formula>"X"</formula>
    </cfRule>
  </conditionalFormatting>
  <conditionalFormatting sqref="AP20:AP23 AX20:AX23 Z20:Z27 AH20:AH27">
    <cfRule type="cellIs" dxfId="23" priority="6" stopIfTrue="1" operator="equal">
      <formula>"X"</formula>
    </cfRule>
  </conditionalFormatting>
  <conditionalFormatting sqref="AT6:AT12 AD6:AD13 AL6:AL13 V6:V14">
    <cfRule type="cellIs" dxfId="22" priority="28" stopIfTrue="1" operator="equal">
      <formula>"X"</formula>
    </cfRule>
  </conditionalFormatting>
  <conditionalFormatting sqref="BA6:BA13 BI6:BI13">
    <cfRule type="cellIs" dxfId="21" priority="23" stopIfTrue="1" operator="equal">
      <formula>"X"</formula>
    </cfRule>
  </conditionalFormatting>
  <conditionalFormatting sqref="BA20:BA27 BI20:BI27">
    <cfRule type="cellIs" dxfId="20" priority="3" stopIfTrue="1" operator="equal">
      <formula>"X"</formula>
    </cfRule>
  </conditionalFormatting>
  <conditionalFormatting sqref="BB6:BB12 BJ6:BJ12">
    <cfRule type="cellIs" dxfId="19" priority="24" stopIfTrue="1" operator="equal">
      <formula>"X"</formula>
    </cfRule>
  </conditionalFormatting>
  <conditionalFormatting sqref="BB20:BB23 BJ20:BJ23">
    <cfRule type="cellIs" dxfId="18" priority="4" stopIfTrue="1" operator="equal">
      <formula>"X"</formula>
    </cfRule>
  </conditionalFormatting>
  <conditionalFormatting sqref="BE6:BE13 BM6:BM13">
    <cfRule type="cellIs" dxfId="17" priority="21" stopIfTrue="1" operator="equal">
      <formula>"X"</formula>
    </cfRule>
  </conditionalFormatting>
  <conditionalFormatting sqref="BE20:BE27 BM20:BM27">
    <cfRule type="cellIs" dxfId="16" priority="1" stopIfTrue="1" operator="equal">
      <formula>"X"</formula>
    </cfRule>
  </conditionalFormatting>
  <conditionalFormatting sqref="BF20:BF23 BN20:BN23">
    <cfRule type="cellIs" dxfId="15" priority="2" stopIfTrue="1" operator="equal">
      <formula>"X"</formula>
    </cfRule>
  </conditionalFormatting>
  <conditionalFormatting sqref="BN6:BN12 BF6:BF14">
    <cfRule type="cellIs" dxfId="14" priority="22" stopIfTrue="1" operator="equal">
      <formula>"X"</formula>
    </cfRule>
  </conditionalFormatting>
  <pageMargins left="0.78740157480314965" right="0.78740157480314965" top="0.98425196850393704" bottom="0.98425196850393704" header="0.51181102362204722" footer="0.51181102362204722"/>
  <pageSetup paperSize="9" scale="22" orientation="landscape" r:id="rId1"/>
  <headerFooter alignWithMargins="0">
    <oddFooter>&amp;Lform 384en.00</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2B5D4-6CA4-41B0-9883-FB89B710C1D7}">
  <sheetPr>
    <pageSetUpPr fitToPage="1"/>
  </sheetPr>
  <dimension ref="A1:BS17"/>
  <sheetViews>
    <sheetView view="pageBreakPreview" zoomScale="85" zoomScaleNormal="100" zoomScaleSheetLayoutView="85" workbookViewId="0">
      <selection activeCell="F13" sqref="F13"/>
    </sheetView>
  </sheetViews>
  <sheetFormatPr defaultColWidth="9.1796875" defaultRowHeight="12.5" x14ac:dyDescent="0.25"/>
  <cols>
    <col min="1" max="2" width="11.453125" style="22" customWidth="1"/>
    <col min="3" max="3" width="11.7265625" style="22" customWidth="1"/>
    <col min="4" max="4" width="11.453125" style="22" customWidth="1"/>
    <col min="5" max="6" width="4.7265625" style="22" customWidth="1"/>
    <col min="7" max="7" width="11.81640625" style="22" customWidth="1"/>
    <col min="8" max="8" width="11.453125" style="22" customWidth="1"/>
    <col min="9" max="10" width="4.7265625" style="22" customWidth="1"/>
    <col min="11" max="11" width="11.81640625" style="22" customWidth="1"/>
    <col min="12" max="12" width="11.453125" style="22" customWidth="1"/>
    <col min="13" max="14" width="4.7265625" style="22" customWidth="1"/>
    <col min="15" max="15" width="11.81640625" style="22" customWidth="1"/>
    <col min="16" max="16" width="11.453125" style="22" customWidth="1"/>
    <col min="17" max="18" width="4.7265625" style="22" customWidth="1"/>
    <col min="19" max="19" width="11.81640625" style="22" customWidth="1"/>
    <col min="20" max="20" width="11.453125" style="22" customWidth="1"/>
    <col min="21" max="22" width="4.7265625" style="22" customWidth="1"/>
    <col min="23" max="23" width="11.81640625" style="22" customWidth="1"/>
    <col min="24" max="24" width="11.453125" style="22" customWidth="1"/>
    <col min="25" max="26" width="4.7265625" style="22" customWidth="1"/>
    <col min="27" max="16384" width="9.1796875" style="22"/>
  </cols>
  <sheetData>
    <row r="1" spans="1:71" ht="16.5" customHeight="1" thickBot="1" x14ac:dyDescent="0.4">
      <c r="A1" s="306" t="s">
        <v>114</v>
      </c>
      <c r="B1" s="307"/>
      <c r="C1" s="307"/>
      <c r="D1" s="307"/>
      <c r="E1" s="307"/>
      <c r="F1" s="307"/>
      <c r="G1" s="307"/>
      <c r="H1" s="307"/>
      <c r="I1" s="307"/>
      <c r="J1" s="307"/>
      <c r="K1" s="307"/>
      <c r="L1" s="307"/>
      <c r="M1" s="307"/>
      <c r="N1" s="307"/>
      <c r="O1" s="307"/>
      <c r="P1" s="307"/>
      <c r="Q1" s="307"/>
      <c r="R1" s="307"/>
      <c r="S1" s="307"/>
      <c r="T1" s="307"/>
      <c r="U1" s="307"/>
      <c r="V1" s="307"/>
      <c r="W1" s="307"/>
      <c r="X1" s="307"/>
      <c r="Y1" s="307"/>
      <c r="Z1" s="307"/>
      <c r="AA1" s="307"/>
      <c r="AB1" s="307"/>
      <c r="AC1" s="307"/>
      <c r="AD1" s="307"/>
      <c r="AE1" s="307"/>
      <c r="AF1" s="307"/>
      <c r="AG1" s="307"/>
      <c r="AH1" s="307"/>
      <c r="AI1" s="307"/>
      <c r="AJ1" s="307"/>
      <c r="AK1" s="307"/>
      <c r="AL1" s="307"/>
      <c r="AM1" s="307"/>
      <c r="AN1" s="307"/>
      <c r="AO1" s="307"/>
      <c r="AP1" s="307"/>
      <c r="AQ1" s="307"/>
      <c r="AR1" s="307"/>
      <c r="AS1" s="307"/>
      <c r="AT1" s="307"/>
      <c r="AU1" s="307"/>
      <c r="AV1" s="307"/>
      <c r="AW1" s="307"/>
      <c r="AX1" s="307"/>
      <c r="AY1" s="307"/>
      <c r="AZ1" s="307"/>
      <c r="BA1" s="307"/>
      <c r="BB1" s="307"/>
      <c r="BC1" s="307"/>
      <c r="BD1" s="307"/>
      <c r="BE1" s="307"/>
      <c r="BF1" s="307"/>
      <c r="BG1" s="307"/>
      <c r="BH1" s="307"/>
      <c r="BI1" s="307"/>
      <c r="BJ1" s="307"/>
      <c r="BK1" s="307"/>
      <c r="BL1" s="307"/>
      <c r="BM1" s="307"/>
      <c r="BN1" s="307"/>
      <c r="BO1" s="307"/>
      <c r="BP1" s="307"/>
      <c r="BQ1" s="307"/>
      <c r="BR1" s="307"/>
      <c r="BS1" s="307"/>
    </row>
    <row r="2" spans="1:71" ht="13.5" customHeight="1" thickBot="1" x14ac:dyDescent="0.3">
      <c r="A2" s="293" t="s">
        <v>39</v>
      </c>
      <c r="B2" s="296" t="s">
        <v>20</v>
      </c>
      <c r="C2" s="288" t="s">
        <v>33</v>
      </c>
      <c r="D2" s="289"/>
      <c r="E2" s="289"/>
      <c r="F2" s="290"/>
      <c r="G2" s="288" t="s">
        <v>34</v>
      </c>
      <c r="H2" s="289"/>
      <c r="I2" s="289"/>
      <c r="J2" s="290"/>
      <c r="K2" s="288" t="s">
        <v>35</v>
      </c>
      <c r="L2" s="289"/>
      <c r="M2" s="289"/>
      <c r="N2" s="290"/>
      <c r="O2" s="288" t="s">
        <v>36</v>
      </c>
      <c r="P2" s="289"/>
      <c r="Q2" s="289"/>
      <c r="R2" s="290"/>
      <c r="S2" s="288" t="s">
        <v>38</v>
      </c>
      <c r="T2" s="289"/>
      <c r="U2" s="289"/>
      <c r="V2" s="290"/>
      <c r="W2" s="288" t="s">
        <v>37</v>
      </c>
      <c r="X2" s="289"/>
      <c r="Y2" s="289"/>
      <c r="Z2" s="290"/>
      <c r="AA2" s="288" t="s">
        <v>54</v>
      </c>
      <c r="AB2" s="289"/>
      <c r="AC2" s="289"/>
      <c r="AD2" s="290"/>
      <c r="AE2" s="288" t="s">
        <v>55</v>
      </c>
      <c r="AF2" s="289"/>
      <c r="AG2" s="289"/>
      <c r="AH2" s="290"/>
      <c r="AI2" s="288" t="s">
        <v>56</v>
      </c>
      <c r="AJ2" s="289"/>
      <c r="AK2" s="289"/>
      <c r="AL2" s="290"/>
      <c r="AM2" s="288" t="s">
        <v>57</v>
      </c>
      <c r="AN2" s="289"/>
      <c r="AO2" s="289"/>
      <c r="AP2" s="290"/>
      <c r="AQ2" s="288" t="s">
        <v>58</v>
      </c>
      <c r="AR2" s="289"/>
      <c r="AS2" s="289"/>
      <c r="AT2" s="290"/>
      <c r="AU2" s="288" t="s">
        <v>59</v>
      </c>
      <c r="AV2" s="289"/>
      <c r="AW2" s="289"/>
      <c r="AX2" s="290"/>
      <c r="AY2" s="288" t="s">
        <v>61</v>
      </c>
      <c r="AZ2" s="289"/>
      <c r="BA2" s="289"/>
      <c r="BB2" s="290"/>
      <c r="BC2" s="288" t="s">
        <v>62</v>
      </c>
      <c r="BD2" s="289"/>
      <c r="BE2" s="289"/>
      <c r="BF2" s="290"/>
      <c r="BG2" s="288" t="s">
        <v>63</v>
      </c>
      <c r="BH2" s="289"/>
      <c r="BI2" s="289"/>
      <c r="BJ2" s="290"/>
      <c r="BK2" s="288" t="s">
        <v>64</v>
      </c>
      <c r="BL2" s="289"/>
      <c r="BM2" s="289"/>
      <c r="BN2" s="290"/>
      <c r="BO2" s="288" t="s">
        <v>64</v>
      </c>
      <c r="BP2" s="289"/>
      <c r="BQ2" s="289"/>
      <c r="BR2" s="290"/>
    </row>
    <row r="3" spans="1:71" s="27" customFormat="1" ht="13.5" customHeight="1" x14ac:dyDescent="0.25">
      <c r="A3" s="294"/>
      <c r="B3" s="297"/>
      <c r="C3" s="291" t="s">
        <v>41</v>
      </c>
      <c r="D3" s="281" t="s">
        <v>40</v>
      </c>
      <c r="E3" s="281" t="s">
        <v>0</v>
      </c>
      <c r="F3" s="283" t="s">
        <v>1</v>
      </c>
      <c r="G3" s="291" t="s">
        <v>41</v>
      </c>
      <c r="H3" s="281" t="s">
        <v>40</v>
      </c>
      <c r="I3" s="281" t="s">
        <v>0</v>
      </c>
      <c r="J3" s="283" t="s">
        <v>1</v>
      </c>
      <c r="K3" s="291" t="s">
        <v>41</v>
      </c>
      <c r="L3" s="281" t="s">
        <v>40</v>
      </c>
      <c r="M3" s="281" t="s">
        <v>0</v>
      </c>
      <c r="N3" s="283" t="s">
        <v>1</v>
      </c>
      <c r="O3" s="291" t="s">
        <v>41</v>
      </c>
      <c r="P3" s="281" t="s">
        <v>40</v>
      </c>
      <c r="Q3" s="281" t="s">
        <v>0</v>
      </c>
      <c r="R3" s="283" t="s">
        <v>1</v>
      </c>
      <c r="S3" s="291" t="s">
        <v>41</v>
      </c>
      <c r="T3" s="281" t="s">
        <v>40</v>
      </c>
      <c r="U3" s="281" t="s">
        <v>0</v>
      </c>
      <c r="V3" s="283" t="s">
        <v>1</v>
      </c>
      <c r="W3" s="291" t="s">
        <v>41</v>
      </c>
      <c r="X3" s="281" t="s">
        <v>40</v>
      </c>
      <c r="Y3" s="281" t="s">
        <v>0</v>
      </c>
      <c r="Z3" s="283" t="s">
        <v>1</v>
      </c>
      <c r="AA3" s="291" t="s">
        <v>41</v>
      </c>
      <c r="AB3" s="281" t="s">
        <v>40</v>
      </c>
      <c r="AC3" s="281" t="s">
        <v>0</v>
      </c>
      <c r="AD3" s="283" t="s">
        <v>1</v>
      </c>
      <c r="AE3" s="291" t="s">
        <v>41</v>
      </c>
      <c r="AF3" s="281" t="s">
        <v>40</v>
      </c>
      <c r="AG3" s="281" t="s">
        <v>0</v>
      </c>
      <c r="AH3" s="283" t="s">
        <v>1</v>
      </c>
      <c r="AI3" s="291" t="s">
        <v>41</v>
      </c>
      <c r="AJ3" s="281" t="s">
        <v>40</v>
      </c>
      <c r="AK3" s="281" t="s">
        <v>0</v>
      </c>
      <c r="AL3" s="283" t="s">
        <v>1</v>
      </c>
      <c r="AM3" s="291" t="s">
        <v>41</v>
      </c>
      <c r="AN3" s="281" t="s">
        <v>40</v>
      </c>
      <c r="AO3" s="281" t="s">
        <v>0</v>
      </c>
      <c r="AP3" s="283" t="s">
        <v>1</v>
      </c>
      <c r="AQ3" s="291" t="s">
        <v>41</v>
      </c>
      <c r="AR3" s="281" t="s">
        <v>40</v>
      </c>
      <c r="AS3" s="281" t="s">
        <v>0</v>
      </c>
      <c r="AT3" s="283" t="s">
        <v>1</v>
      </c>
      <c r="AU3" s="291" t="s">
        <v>41</v>
      </c>
      <c r="AV3" s="281" t="s">
        <v>40</v>
      </c>
      <c r="AW3" s="281" t="s">
        <v>0</v>
      </c>
      <c r="AX3" s="283" t="s">
        <v>1</v>
      </c>
      <c r="AY3" s="291" t="s">
        <v>41</v>
      </c>
      <c r="AZ3" s="281" t="s">
        <v>40</v>
      </c>
      <c r="BA3" s="281" t="s">
        <v>0</v>
      </c>
      <c r="BB3" s="283" t="s">
        <v>1</v>
      </c>
      <c r="BC3" s="291" t="s">
        <v>41</v>
      </c>
      <c r="BD3" s="281" t="s">
        <v>40</v>
      </c>
      <c r="BE3" s="281" t="s">
        <v>0</v>
      </c>
      <c r="BF3" s="283" t="s">
        <v>1</v>
      </c>
      <c r="BG3" s="291" t="s">
        <v>41</v>
      </c>
      <c r="BH3" s="281" t="s">
        <v>40</v>
      </c>
      <c r="BI3" s="281" t="s">
        <v>0</v>
      </c>
      <c r="BJ3" s="283" t="s">
        <v>1</v>
      </c>
      <c r="BK3" s="291" t="s">
        <v>41</v>
      </c>
      <c r="BL3" s="281" t="s">
        <v>40</v>
      </c>
      <c r="BM3" s="281" t="s">
        <v>0</v>
      </c>
      <c r="BN3" s="283" t="s">
        <v>1</v>
      </c>
      <c r="BO3" s="291" t="s">
        <v>41</v>
      </c>
      <c r="BP3" s="281" t="s">
        <v>40</v>
      </c>
      <c r="BQ3" s="281" t="s">
        <v>0</v>
      </c>
      <c r="BR3" s="283" t="s">
        <v>1</v>
      </c>
    </row>
    <row r="4" spans="1:71" s="27" customFormat="1" ht="12.75" customHeight="1" x14ac:dyDescent="0.25">
      <c r="A4" s="295"/>
      <c r="B4" s="298"/>
      <c r="C4" s="292"/>
      <c r="D4" s="282"/>
      <c r="E4" s="282"/>
      <c r="F4" s="284"/>
      <c r="G4" s="292"/>
      <c r="H4" s="282"/>
      <c r="I4" s="282"/>
      <c r="J4" s="284"/>
      <c r="K4" s="292"/>
      <c r="L4" s="282"/>
      <c r="M4" s="282"/>
      <c r="N4" s="284"/>
      <c r="O4" s="292"/>
      <c r="P4" s="282"/>
      <c r="Q4" s="282"/>
      <c r="R4" s="284"/>
      <c r="S4" s="292"/>
      <c r="T4" s="282"/>
      <c r="U4" s="282"/>
      <c r="V4" s="284"/>
      <c r="W4" s="292"/>
      <c r="X4" s="282"/>
      <c r="Y4" s="282"/>
      <c r="Z4" s="284"/>
      <c r="AA4" s="292"/>
      <c r="AB4" s="282"/>
      <c r="AC4" s="282"/>
      <c r="AD4" s="284"/>
      <c r="AE4" s="292"/>
      <c r="AF4" s="282"/>
      <c r="AG4" s="282"/>
      <c r="AH4" s="284"/>
      <c r="AI4" s="292"/>
      <c r="AJ4" s="282"/>
      <c r="AK4" s="282"/>
      <c r="AL4" s="284"/>
      <c r="AM4" s="292"/>
      <c r="AN4" s="282"/>
      <c r="AO4" s="282"/>
      <c r="AP4" s="284"/>
      <c r="AQ4" s="292"/>
      <c r="AR4" s="282"/>
      <c r="AS4" s="282"/>
      <c r="AT4" s="284"/>
      <c r="AU4" s="292"/>
      <c r="AV4" s="282"/>
      <c r="AW4" s="282"/>
      <c r="AX4" s="284"/>
      <c r="AY4" s="292"/>
      <c r="AZ4" s="282"/>
      <c r="BA4" s="282"/>
      <c r="BB4" s="284"/>
      <c r="BC4" s="292"/>
      <c r="BD4" s="282"/>
      <c r="BE4" s="282"/>
      <c r="BF4" s="284"/>
      <c r="BG4" s="292"/>
      <c r="BH4" s="282"/>
      <c r="BI4" s="282"/>
      <c r="BJ4" s="284"/>
      <c r="BK4" s="292"/>
      <c r="BL4" s="282"/>
      <c r="BM4" s="282"/>
      <c r="BN4" s="284"/>
      <c r="BO4" s="292"/>
      <c r="BP4" s="282"/>
      <c r="BQ4" s="282"/>
      <c r="BR4" s="284"/>
    </row>
    <row r="5" spans="1:71" s="27" customFormat="1" ht="12.75" customHeight="1" thickBot="1" x14ac:dyDescent="0.3">
      <c r="A5" s="53" t="s">
        <v>4</v>
      </c>
      <c r="B5" s="54" t="s">
        <v>5</v>
      </c>
      <c r="C5" s="55" t="s">
        <v>4</v>
      </c>
      <c r="D5" s="56" t="s">
        <v>4</v>
      </c>
      <c r="E5" s="56"/>
      <c r="F5" s="57"/>
      <c r="G5" s="55"/>
      <c r="H5" s="56"/>
      <c r="I5" s="56"/>
      <c r="J5" s="57"/>
      <c r="K5" s="55"/>
      <c r="L5" s="56"/>
      <c r="M5" s="56"/>
      <c r="N5" s="57"/>
      <c r="O5" s="55"/>
      <c r="P5" s="56"/>
      <c r="Q5" s="56"/>
      <c r="R5" s="57"/>
      <c r="S5" s="55"/>
      <c r="T5" s="56"/>
      <c r="U5" s="56"/>
      <c r="V5" s="57"/>
      <c r="W5" s="55"/>
      <c r="X5" s="56"/>
      <c r="Y5" s="56"/>
      <c r="Z5" s="57"/>
      <c r="AA5" s="55"/>
      <c r="AB5" s="56"/>
      <c r="AC5" s="56"/>
      <c r="AD5" s="57"/>
      <c r="AE5" s="55"/>
      <c r="AF5" s="56"/>
      <c r="AG5" s="56"/>
      <c r="AH5" s="57"/>
      <c r="AI5" s="55"/>
      <c r="AJ5" s="56"/>
      <c r="AK5" s="56"/>
      <c r="AL5" s="57"/>
      <c r="AM5" s="55"/>
      <c r="AN5" s="56"/>
      <c r="AO5" s="56"/>
      <c r="AP5" s="57"/>
      <c r="AQ5" s="55"/>
      <c r="AR5" s="56"/>
      <c r="AS5" s="56"/>
      <c r="AT5" s="57"/>
      <c r="AU5" s="55"/>
      <c r="AV5" s="56"/>
      <c r="AW5" s="56"/>
      <c r="AX5" s="57"/>
      <c r="AY5" s="55"/>
      <c r="AZ5" s="56"/>
      <c r="BA5" s="56"/>
      <c r="BB5" s="57"/>
      <c r="BC5" s="55"/>
      <c r="BD5" s="56"/>
      <c r="BE5" s="56"/>
      <c r="BF5" s="57"/>
      <c r="BG5" s="55"/>
      <c r="BH5" s="56"/>
      <c r="BI5" s="56"/>
      <c r="BJ5" s="57"/>
      <c r="BK5" s="55"/>
      <c r="BL5" s="56"/>
      <c r="BM5" s="56"/>
      <c r="BN5" s="57"/>
      <c r="BO5" s="55"/>
      <c r="BP5" s="56"/>
      <c r="BQ5" s="56"/>
      <c r="BR5" s="57"/>
    </row>
    <row r="6" spans="1:71" x14ac:dyDescent="0.25">
      <c r="A6" s="110">
        <v>0.99399999999999999</v>
      </c>
      <c r="B6" s="111">
        <v>5.0000000000000001E-3</v>
      </c>
      <c r="C6" s="120">
        <v>0.996</v>
      </c>
      <c r="D6" s="121">
        <v>0.99399999999999999</v>
      </c>
      <c r="E6" s="114" t="str">
        <f t="shared" ref="E6:E9" si="0">IF(C6&lt;&gt;"",IF(AND(C6&gt;=(D6-(D6*$B6)),C6&lt;=(D6+(D6*$B6))),"X",""),"")</f>
        <v>X</v>
      </c>
      <c r="F6" s="115" t="str">
        <f t="shared" ref="F6:F9" si="1">IF(NOT(E6="X"),"X","")</f>
        <v/>
      </c>
      <c r="G6" s="120">
        <v>0.996</v>
      </c>
      <c r="H6" s="121">
        <v>0.99399999999999999</v>
      </c>
      <c r="I6" s="114" t="str">
        <f t="shared" ref="I6:I9" si="2">IF(G6&lt;&gt;"",IF(AND(G6&gt;=(H6-(H6*$B6)),G6&lt;=(H6+(H6*$B6))),"X",""),"")</f>
        <v>X</v>
      </c>
      <c r="J6" s="115" t="str">
        <f t="shared" ref="J6:J9" si="3">IF(NOT(I6="X"),"X","")</f>
        <v/>
      </c>
      <c r="K6" s="120">
        <v>0.996</v>
      </c>
      <c r="L6" s="121">
        <v>0.99399999999999999</v>
      </c>
      <c r="M6" s="114" t="str">
        <f t="shared" ref="M6:M9" si="4">IF(K6&lt;&gt;"",IF(AND(K6&gt;=(L6-(L6*$B6)),K6&lt;=(L6+(L6*$B6))),"X",""),"")</f>
        <v>X</v>
      </c>
      <c r="N6" s="115" t="str">
        <f t="shared" ref="N6:N9" si="5">IF(NOT(M6="X"),"X","")</f>
        <v/>
      </c>
      <c r="O6" s="120">
        <v>0.996</v>
      </c>
      <c r="P6" s="121">
        <v>0.99399999999999999</v>
      </c>
      <c r="Q6" s="114" t="str">
        <f t="shared" ref="Q6:Q9" si="6">IF(O6&lt;&gt;"",IF(AND(O6&gt;=(P6-(P6*$B6)),O6&lt;=(P6+(P6*$B6))),"X",""),"")</f>
        <v>X</v>
      </c>
      <c r="R6" s="115" t="str">
        <f t="shared" ref="R6:R9" si="7">IF(NOT(Q6="X"),"X","")</f>
        <v/>
      </c>
      <c r="S6" s="122">
        <v>0.996</v>
      </c>
      <c r="T6" s="123">
        <v>0.99399999999999999</v>
      </c>
      <c r="U6" s="114" t="str">
        <f t="shared" ref="U6:U9" si="8">IF(S6&lt;&gt;"",IF(AND(S6&gt;=(T6-(T6*$B6)),S6&lt;=(T6+(T6*$B6))),"X",""),"")</f>
        <v>X</v>
      </c>
      <c r="V6" s="115" t="str">
        <f t="shared" ref="V6:V9" si="9">IF(NOT(U6="X"),"X","")</f>
        <v/>
      </c>
      <c r="W6" s="120">
        <v>0.996</v>
      </c>
      <c r="X6" s="121">
        <v>0.99399999999999999</v>
      </c>
      <c r="Y6" s="114" t="str">
        <f t="shared" ref="Y6:Y9" si="10">IF(W6&lt;&gt;"",IF(AND(W6&gt;=(X6-(X6*$B6)),W6&lt;=(X6+(X6*$B6))),"X",""),"")</f>
        <v>X</v>
      </c>
      <c r="Z6" s="115" t="str">
        <f t="shared" ref="Z6:Z9" si="11">IF(NOT(Y6="X"),"X","")</f>
        <v/>
      </c>
      <c r="AA6" s="120">
        <v>0.996</v>
      </c>
      <c r="AB6" s="121">
        <v>0.99399999999999999</v>
      </c>
      <c r="AC6" s="114" t="str">
        <f t="shared" ref="AC6:AC9" si="12">IF(AA6&lt;&gt;"",IF(AND(AA6&gt;=(AB6-(AB6*$B6)),AA6&lt;=(AB6+(AB6*$B6))),"X",""),"")</f>
        <v>X</v>
      </c>
      <c r="AD6" s="115" t="str">
        <f t="shared" ref="AD6:AD9" si="13">IF(NOT(AC6="X"),"X","")</f>
        <v/>
      </c>
      <c r="AE6" s="120">
        <v>0.996</v>
      </c>
      <c r="AF6" s="121">
        <v>0.99399999999999999</v>
      </c>
      <c r="AG6" s="114" t="str">
        <f t="shared" ref="AG6:AG9" si="14">IF(AE6&lt;&gt;"",IF(AND(AE6&gt;=(AF6-(AF6*$B6)),AE6&lt;=(AF6+(AF6*$B6))),"X",""),"")</f>
        <v>X</v>
      </c>
      <c r="AH6" s="115" t="str">
        <f t="shared" ref="AH6:AH9" si="15">IF(NOT(AG6="X"),"X","")</f>
        <v/>
      </c>
      <c r="AI6" s="120">
        <v>0.996</v>
      </c>
      <c r="AJ6" s="121">
        <v>0.99399999999999999</v>
      </c>
      <c r="AK6" s="114" t="str">
        <f t="shared" ref="AK6:AK9" si="16">IF(AI6&lt;&gt;"",IF(AND(AI6&gt;=(AJ6-(AJ6*$B6)),AI6&lt;=(AJ6+(AJ6*$B6))),"X",""),"")</f>
        <v>X</v>
      </c>
      <c r="AL6" s="115" t="str">
        <f t="shared" ref="AL6:AL9" si="17">IF(NOT(AK6="X"),"X","")</f>
        <v/>
      </c>
      <c r="AM6" s="120">
        <v>0.996</v>
      </c>
      <c r="AN6" s="121">
        <v>0.99399999999999999</v>
      </c>
      <c r="AO6" s="114" t="str">
        <f t="shared" ref="AO6:AO9" si="18">IF(AM6&lt;&gt;"",IF(AND(AM6&gt;=(AN6-(AN6*$B6)),AM6&lt;=(AN6+(AN6*$B6))),"X",""),"")</f>
        <v>X</v>
      </c>
      <c r="AP6" s="115" t="str">
        <f t="shared" ref="AP6:AP9" si="19">IF(NOT(AO6="X"),"X","")</f>
        <v/>
      </c>
      <c r="AQ6" s="120">
        <v>0.996</v>
      </c>
      <c r="AR6" s="121">
        <v>0.99399999999999999</v>
      </c>
      <c r="AS6" s="114" t="str">
        <f t="shared" ref="AS6:AS9" si="20">IF(AQ6&lt;&gt;"",IF(AND(AQ6&gt;=(AR6-(AR6*$B6)),AQ6&lt;=(AR6+(AR6*$B6))),"X",""),"")</f>
        <v>X</v>
      </c>
      <c r="AT6" s="115" t="str">
        <f t="shared" ref="AT6:AT9" si="21">IF(NOT(AS6="X"),"X","")</f>
        <v/>
      </c>
      <c r="AU6" s="120">
        <v>0.996</v>
      </c>
      <c r="AV6" s="121">
        <v>0.99399999999999999</v>
      </c>
      <c r="AW6" s="114" t="str">
        <f t="shared" ref="AW6:AW9" si="22">IF(AU6&lt;&gt;"",IF(AND(AU6&gt;=(AV6-(AV6*$B6)),AU6&lt;=(AV6+(AV6*$B6))),"X",""),"")</f>
        <v>X</v>
      </c>
      <c r="AX6" s="115" t="str">
        <f t="shared" ref="AX6:AX9" si="23">IF(NOT(AW6="X"),"X","")</f>
        <v/>
      </c>
      <c r="AY6" s="120">
        <v>0.996</v>
      </c>
      <c r="AZ6" s="121">
        <v>0.99399999999999999</v>
      </c>
      <c r="BA6" s="114" t="str">
        <f t="shared" ref="BA6:BA9" si="24">IF(AY6&lt;&gt;"",IF(AND(AY6&gt;=(AZ6-(AZ6*$B6)),AY6&lt;=(AZ6+(AZ6*$B6))),"X",""),"")</f>
        <v>X</v>
      </c>
      <c r="BB6" s="115" t="str">
        <f t="shared" ref="BB6:BB9" si="25">IF(NOT(BA6="X"),"X","")</f>
        <v/>
      </c>
      <c r="BC6" s="124">
        <v>12</v>
      </c>
      <c r="BD6" s="121">
        <v>12</v>
      </c>
      <c r="BE6" s="114" t="str">
        <f t="shared" ref="BE6:BE9" si="26">IF(BC6&lt;&gt;"",IF(AND(BC6&gt;=(BD6-(BD6*$B6)),BC6&lt;=(BD6+(BD6*$B6))),"X",""),"")</f>
        <v>X</v>
      </c>
      <c r="BF6" s="115" t="str">
        <f t="shared" ref="BF6:BF9" si="27">IF(NOT(BE6="X"),"X","")</f>
        <v/>
      </c>
      <c r="BG6" s="124">
        <v>12</v>
      </c>
      <c r="BH6" s="121">
        <v>12</v>
      </c>
      <c r="BI6" s="114" t="str">
        <f t="shared" ref="BI6:BI9" si="28">IF(BG6&lt;&gt;"",IF(AND(BG6&gt;=(BH6-(BH6*$B6)),BG6&lt;=(BH6+(BH6*$B6))),"X",""),"")</f>
        <v>X</v>
      </c>
      <c r="BJ6" s="115" t="str">
        <f t="shared" ref="BJ6:BJ9" si="29">IF(NOT(BI6="X"),"X","")</f>
        <v/>
      </c>
      <c r="BK6" s="124">
        <v>12</v>
      </c>
      <c r="BL6" s="121">
        <v>12</v>
      </c>
      <c r="BM6" s="114" t="str">
        <f t="shared" ref="BM6:BM9" si="30">IF(BK6&lt;&gt;"",IF(AND(BK6&gt;=(BL6-(BL6*$B6)),BK6&lt;=(BL6+(BL6*$B6))),"X",""),"")</f>
        <v>X</v>
      </c>
      <c r="BN6" s="115" t="str">
        <f t="shared" ref="BN6:BN9" si="31">IF(NOT(BM6="X"),"X","")</f>
        <v/>
      </c>
      <c r="BO6" s="124">
        <v>12</v>
      </c>
      <c r="BP6" s="121">
        <v>12</v>
      </c>
      <c r="BQ6" s="114" t="str">
        <f t="shared" ref="BQ6:BQ9" si="32">IF(BO6&lt;&gt;"",IF(AND(BO6&gt;=(BP6-(BP6*$B6)),BO6&lt;=(BP6+(BP6*$B6))),"X",""),"")</f>
        <v>X</v>
      </c>
      <c r="BR6" s="115" t="str">
        <f t="shared" ref="BR6:BR9" si="33">IF(NOT(BQ6="X"),"X","")</f>
        <v/>
      </c>
    </row>
    <row r="7" spans="1:71" x14ac:dyDescent="0.25">
      <c r="A7" s="110">
        <v>1.994</v>
      </c>
      <c r="B7" s="111">
        <v>5.0000000000000001E-3</v>
      </c>
      <c r="C7" s="120">
        <v>1.996</v>
      </c>
      <c r="D7" s="121">
        <v>1.994</v>
      </c>
      <c r="E7" s="118" t="str">
        <f t="shared" si="0"/>
        <v>X</v>
      </c>
      <c r="F7" s="119" t="str">
        <f t="shared" si="1"/>
        <v/>
      </c>
      <c r="G7" s="120">
        <v>1.996</v>
      </c>
      <c r="H7" s="121">
        <v>1.994</v>
      </c>
      <c r="I7" s="118" t="str">
        <f t="shared" si="2"/>
        <v>X</v>
      </c>
      <c r="J7" s="119" t="str">
        <f t="shared" si="3"/>
        <v/>
      </c>
      <c r="K7" s="120">
        <v>1.996</v>
      </c>
      <c r="L7" s="121">
        <v>1.994</v>
      </c>
      <c r="M7" s="118" t="str">
        <f t="shared" si="4"/>
        <v>X</v>
      </c>
      <c r="N7" s="119" t="str">
        <f t="shared" si="5"/>
        <v/>
      </c>
      <c r="O7" s="120">
        <v>1.996</v>
      </c>
      <c r="P7" s="121">
        <v>1.994</v>
      </c>
      <c r="Q7" s="118" t="str">
        <f t="shared" si="6"/>
        <v>X</v>
      </c>
      <c r="R7" s="119" t="str">
        <f t="shared" si="7"/>
        <v/>
      </c>
      <c r="S7" s="122">
        <v>1.996</v>
      </c>
      <c r="T7" s="123">
        <v>1.994</v>
      </c>
      <c r="U7" s="118" t="str">
        <f t="shared" si="8"/>
        <v>X</v>
      </c>
      <c r="V7" s="119" t="str">
        <f t="shared" si="9"/>
        <v/>
      </c>
      <c r="W7" s="120">
        <v>1.996</v>
      </c>
      <c r="X7" s="121">
        <v>1.994</v>
      </c>
      <c r="Y7" s="118" t="str">
        <f t="shared" si="10"/>
        <v>X</v>
      </c>
      <c r="Z7" s="119" t="str">
        <f t="shared" si="11"/>
        <v/>
      </c>
      <c r="AA7" s="120">
        <v>1.996</v>
      </c>
      <c r="AB7" s="121">
        <v>1.994</v>
      </c>
      <c r="AC7" s="118" t="str">
        <f t="shared" si="12"/>
        <v>X</v>
      </c>
      <c r="AD7" s="119" t="str">
        <f t="shared" si="13"/>
        <v/>
      </c>
      <c r="AE7" s="120">
        <v>1.996</v>
      </c>
      <c r="AF7" s="121">
        <v>1.994</v>
      </c>
      <c r="AG7" s="118" t="str">
        <f t="shared" si="14"/>
        <v>X</v>
      </c>
      <c r="AH7" s="119" t="str">
        <f t="shared" si="15"/>
        <v/>
      </c>
      <c r="AI7" s="120">
        <v>1.996</v>
      </c>
      <c r="AJ7" s="121">
        <v>1.994</v>
      </c>
      <c r="AK7" s="118" t="str">
        <f t="shared" si="16"/>
        <v>X</v>
      </c>
      <c r="AL7" s="119" t="str">
        <f t="shared" si="17"/>
        <v/>
      </c>
      <c r="AM7" s="120">
        <v>1.996</v>
      </c>
      <c r="AN7" s="121">
        <v>1.994</v>
      </c>
      <c r="AO7" s="118" t="str">
        <f t="shared" si="18"/>
        <v>X</v>
      </c>
      <c r="AP7" s="119" t="str">
        <f t="shared" si="19"/>
        <v/>
      </c>
      <c r="AQ7" s="120">
        <v>1.996</v>
      </c>
      <c r="AR7" s="121">
        <v>1.994</v>
      </c>
      <c r="AS7" s="118" t="str">
        <f t="shared" si="20"/>
        <v>X</v>
      </c>
      <c r="AT7" s="119" t="str">
        <f t="shared" si="21"/>
        <v/>
      </c>
      <c r="AU7" s="120">
        <v>1.996</v>
      </c>
      <c r="AV7" s="121">
        <v>1.994</v>
      </c>
      <c r="AW7" s="118" t="str">
        <f t="shared" si="22"/>
        <v>X</v>
      </c>
      <c r="AX7" s="119" t="str">
        <f t="shared" si="23"/>
        <v/>
      </c>
      <c r="AY7" s="120">
        <v>1.996</v>
      </c>
      <c r="AZ7" s="121">
        <v>1.994</v>
      </c>
      <c r="BA7" s="118" t="str">
        <f t="shared" si="24"/>
        <v>X</v>
      </c>
      <c r="BB7" s="119" t="str">
        <f t="shared" si="25"/>
        <v/>
      </c>
      <c r="BC7" s="124">
        <v>10</v>
      </c>
      <c r="BD7" s="121">
        <v>10</v>
      </c>
      <c r="BE7" s="118" t="str">
        <f t="shared" si="26"/>
        <v>X</v>
      </c>
      <c r="BF7" s="119" t="str">
        <f t="shared" si="27"/>
        <v/>
      </c>
      <c r="BG7" s="124">
        <v>10</v>
      </c>
      <c r="BH7" s="121">
        <v>10</v>
      </c>
      <c r="BI7" s="118" t="str">
        <f t="shared" si="28"/>
        <v>X</v>
      </c>
      <c r="BJ7" s="119" t="str">
        <f t="shared" si="29"/>
        <v/>
      </c>
      <c r="BK7" s="124">
        <v>10</v>
      </c>
      <c r="BL7" s="121">
        <v>10</v>
      </c>
      <c r="BM7" s="118" t="str">
        <f t="shared" si="30"/>
        <v>X</v>
      </c>
      <c r="BN7" s="119" t="str">
        <f t="shared" si="31"/>
        <v/>
      </c>
      <c r="BO7" s="124">
        <v>10</v>
      </c>
      <c r="BP7" s="121">
        <v>10</v>
      </c>
      <c r="BQ7" s="118" t="str">
        <f t="shared" si="32"/>
        <v>X</v>
      </c>
      <c r="BR7" s="119" t="str">
        <f t="shared" si="33"/>
        <v/>
      </c>
    </row>
    <row r="8" spans="1:71" x14ac:dyDescent="0.25">
      <c r="A8" s="110">
        <v>2.996</v>
      </c>
      <c r="B8" s="111">
        <v>5.0000000000000001E-3</v>
      </c>
      <c r="C8" s="120">
        <v>2.996</v>
      </c>
      <c r="D8" s="121">
        <v>2.996</v>
      </c>
      <c r="E8" s="118" t="str">
        <f t="shared" si="0"/>
        <v>X</v>
      </c>
      <c r="F8" s="119" t="str">
        <f t="shared" si="1"/>
        <v/>
      </c>
      <c r="G8" s="120">
        <v>2.996</v>
      </c>
      <c r="H8" s="121">
        <v>2.996</v>
      </c>
      <c r="I8" s="118" t="str">
        <f t="shared" si="2"/>
        <v>X</v>
      </c>
      <c r="J8" s="119" t="str">
        <f t="shared" si="3"/>
        <v/>
      </c>
      <c r="K8" s="120">
        <v>2.996</v>
      </c>
      <c r="L8" s="121">
        <v>2.996</v>
      </c>
      <c r="M8" s="118" t="str">
        <f t="shared" si="4"/>
        <v>X</v>
      </c>
      <c r="N8" s="119" t="str">
        <f t="shared" si="5"/>
        <v/>
      </c>
      <c r="O8" s="120">
        <v>2.996</v>
      </c>
      <c r="P8" s="121">
        <v>2.996</v>
      </c>
      <c r="Q8" s="118" t="str">
        <f t="shared" si="6"/>
        <v>X</v>
      </c>
      <c r="R8" s="119" t="str">
        <f t="shared" si="7"/>
        <v/>
      </c>
      <c r="S8" s="122">
        <v>2.996</v>
      </c>
      <c r="T8" s="123">
        <v>2.996</v>
      </c>
      <c r="U8" s="118" t="str">
        <f t="shared" si="8"/>
        <v>X</v>
      </c>
      <c r="V8" s="119" t="str">
        <f t="shared" si="9"/>
        <v/>
      </c>
      <c r="W8" s="120">
        <v>2.996</v>
      </c>
      <c r="X8" s="121">
        <v>2.996</v>
      </c>
      <c r="Y8" s="118" t="str">
        <f t="shared" si="10"/>
        <v>X</v>
      </c>
      <c r="Z8" s="119" t="str">
        <f t="shared" si="11"/>
        <v/>
      </c>
      <c r="AA8" s="120">
        <v>2.996</v>
      </c>
      <c r="AB8" s="121">
        <v>2.996</v>
      </c>
      <c r="AC8" s="118" t="str">
        <f t="shared" si="12"/>
        <v>X</v>
      </c>
      <c r="AD8" s="119" t="str">
        <f t="shared" si="13"/>
        <v/>
      </c>
      <c r="AE8" s="120">
        <v>2.996</v>
      </c>
      <c r="AF8" s="121">
        <v>2.996</v>
      </c>
      <c r="AG8" s="118" t="str">
        <f t="shared" si="14"/>
        <v>X</v>
      </c>
      <c r="AH8" s="119" t="str">
        <f t="shared" si="15"/>
        <v/>
      </c>
      <c r="AI8" s="120">
        <v>2.996</v>
      </c>
      <c r="AJ8" s="121">
        <v>2.996</v>
      </c>
      <c r="AK8" s="118" t="str">
        <f t="shared" si="16"/>
        <v>X</v>
      </c>
      <c r="AL8" s="119" t="str">
        <f t="shared" si="17"/>
        <v/>
      </c>
      <c r="AM8" s="120">
        <v>2.996</v>
      </c>
      <c r="AN8" s="121">
        <v>2.996</v>
      </c>
      <c r="AO8" s="118" t="str">
        <f t="shared" si="18"/>
        <v>X</v>
      </c>
      <c r="AP8" s="119" t="str">
        <f t="shared" si="19"/>
        <v/>
      </c>
      <c r="AQ8" s="120">
        <v>2.996</v>
      </c>
      <c r="AR8" s="121">
        <v>2.996</v>
      </c>
      <c r="AS8" s="118" t="str">
        <f t="shared" si="20"/>
        <v>X</v>
      </c>
      <c r="AT8" s="119" t="str">
        <f t="shared" si="21"/>
        <v/>
      </c>
      <c r="AU8" s="120">
        <v>2.996</v>
      </c>
      <c r="AV8" s="121">
        <v>2.996</v>
      </c>
      <c r="AW8" s="118" t="str">
        <f t="shared" si="22"/>
        <v>X</v>
      </c>
      <c r="AX8" s="119" t="str">
        <f t="shared" si="23"/>
        <v/>
      </c>
      <c r="AY8" s="120">
        <v>2.996</v>
      </c>
      <c r="AZ8" s="121">
        <v>2.996</v>
      </c>
      <c r="BA8" s="118" t="str">
        <f t="shared" si="24"/>
        <v>X</v>
      </c>
      <c r="BB8" s="119" t="str">
        <f t="shared" si="25"/>
        <v/>
      </c>
      <c r="BC8" s="124">
        <v>6</v>
      </c>
      <c r="BD8" s="121">
        <v>6</v>
      </c>
      <c r="BE8" s="118" t="str">
        <f t="shared" si="26"/>
        <v>X</v>
      </c>
      <c r="BF8" s="119" t="str">
        <f t="shared" si="27"/>
        <v/>
      </c>
      <c r="BG8" s="124">
        <v>6</v>
      </c>
      <c r="BH8" s="121">
        <v>6</v>
      </c>
      <c r="BI8" s="118" t="str">
        <f t="shared" si="28"/>
        <v>X</v>
      </c>
      <c r="BJ8" s="119" t="str">
        <f t="shared" si="29"/>
        <v/>
      </c>
      <c r="BK8" s="124">
        <v>6</v>
      </c>
      <c r="BL8" s="121">
        <v>6</v>
      </c>
      <c r="BM8" s="118" t="str">
        <f t="shared" si="30"/>
        <v>X</v>
      </c>
      <c r="BN8" s="119" t="str">
        <f t="shared" si="31"/>
        <v/>
      </c>
      <c r="BO8" s="124">
        <v>6</v>
      </c>
      <c r="BP8" s="121">
        <v>6</v>
      </c>
      <c r="BQ8" s="118" t="str">
        <f t="shared" si="32"/>
        <v>X</v>
      </c>
      <c r="BR8" s="119" t="str">
        <f t="shared" si="33"/>
        <v/>
      </c>
    </row>
    <row r="9" spans="1:71" x14ac:dyDescent="0.25">
      <c r="A9" s="110">
        <v>9.9969999999999999</v>
      </c>
      <c r="B9" s="111">
        <v>5.0000000000000001E-3</v>
      </c>
      <c r="C9" s="120">
        <v>10</v>
      </c>
      <c r="D9" s="121">
        <v>9.9969999999999999</v>
      </c>
      <c r="E9" s="118" t="str">
        <f t="shared" si="0"/>
        <v>X</v>
      </c>
      <c r="F9" s="119" t="str">
        <f t="shared" si="1"/>
        <v/>
      </c>
      <c r="G9" s="120">
        <v>10</v>
      </c>
      <c r="H9" s="121">
        <v>9.9969999999999999</v>
      </c>
      <c r="I9" s="118" t="str">
        <f t="shared" si="2"/>
        <v>X</v>
      </c>
      <c r="J9" s="119" t="str">
        <f t="shared" si="3"/>
        <v/>
      </c>
      <c r="K9" s="120">
        <v>10</v>
      </c>
      <c r="L9" s="121">
        <v>9.9969999999999999</v>
      </c>
      <c r="M9" s="118" t="str">
        <f t="shared" si="4"/>
        <v>X</v>
      </c>
      <c r="N9" s="119" t="str">
        <f t="shared" si="5"/>
        <v/>
      </c>
      <c r="O9" s="120">
        <v>10</v>
      </c>
      <c r="P9" s="121">
        <v>9.9969999999999999</v>
      </c>
      <c r="Q9" s="118" t="str">
        <f t="shared" si="6"/>
        <v>X</v>
      </c>
      <c r="R9" s="119" t="str">
        <f t="shared" si="7"/>
        <v/>
      </c>
      <c r="S9" s="122">
        <v>10</v>
      </c>
      <c r="T9" s="123">
        <v>9.9969999999999999</v>
      </c>
      <c r="U9" s="118" t="str">
        <f t="shared" si="8"/>
        <v>X</v>
      </c>
      <c r="V9" s="119" t="str">
        <f t="shared" si="9"/>
        <v/>
      </c>
      <c r="W9" s="120">
        <v>10</v>
      </c>
      <c r="X9" s="121">
        <v>9.9969999999999999</v>
      </c>
      <c r="Y9" s="118" t="str">
        <f t="shared" si="10"/>
        <v>X</v>
      </c>
      <c r="Z9" s="119" t="str">
        <f t="shared" si="11"/>
        <v/>
      </c>
      <c r="AA9" s="120">
        <v>10</v>
      </c>
      <c r="AB9" s="121">
        <v>9.9969999999999999</v>
      </c>
      <c r="AC9" s="118" t="str">
        <f t="shared" si="12"/>
        <v>X</v>
      </c>
      <c r="AD9" s="119" t="str">
        <f t="shared" si="13"/>
        <v/>
      </c>
      <c r="AE9" s="120">
        <v>10</v>
      </c>
      <c r="AF9" s="121">
        <v>9.9969999999999999</v>
      </c>
      <c r="AG9" s="118" t="str">
        <f t="shared" si="14"/>
        <v>X</v>
      </c>
      <c r="AH9" s="119" t="str">
        <f t="shared" si="15"/>
        <v/>
      </c>
      <c r="AI9" s="120">
        <v>10</v>
      </c>
      <c r="AJ9" s="121">
        <v>9.9969999999999999</v>
      </c>
      <c r="AK9" s="118" t="str">
        <f t="shared" si="16"/>
        <v>X</v>
      </c>
      <c r="AL9" s="119" t="str">
        <f t="shared" si="17"/>
        <v/>
      </c>
      <c r="AM9" s="120">
        <v>10</v>
      </c>
      <c r="AN9" s="121">
        <v>9.9969999999999999</v>
      </c>
      <c r="AO9" s="118" t="str">
        <f t="shared" si="18"/>
        <v>X</v>
      </c>
      <c r="AP9" s="119" t="str">
        <f t="shared" si="19"/>
        <v/>
      </c>
      <c r="AQ9" s="120">
        <v>10</v>
      </c>
      <c r="AR9" s="121">
        <v>9.9969999999999999</v>
      </c>
      <c r="AS9" s="118" t="str">
        <f t="shared" si="20"/>
        <v>X</v>
      </c>
      <c r="AT9" s="119" t="str">
        <f t="shared" si="21"/>
        <v/>
      </c>
      <c r="AU9" s="120">
        <v>10</v>
      </c>
      <c r="AV9" s="121">
        <v>9.9969999999999999</v>
      </c>
      <c r="AW9" s="118" t="str">
        <f t="shared" si="22"/>
        <v>X</v>
      </c>
      <c r="AX9" s="119" t="str">
        <f t="shared" si="23"/>
        <v/>
      </c>
      <c r="AY9" s="120">
        <v>10</v>
      </c>
      <c r="AZ9" s="121">
        <v>9.9969999999999999</v>
      </c>
      <c r="BA9" s="118" t="str">
        <f t="shared" si="24"/>
        <v>X</v>
      </c>
      <c r="BB9" s="119" t="str">
        <f t="shared" si="25"/>
        <v/>
      </c>
      <c r="BC9" s="124">
        <v>4.9980000000000002</v>
      </c>
      <c r="BD9" s="121">
        <v>5</v>
      </c>
      <c r="BE9" s="118" t="str">
        <f t="shared" si="26"/>
        <v>X</v>
      </c>
      <c r="BF9" s="119" t="str">
        <f t="shared" si="27"/>
        <v/>
      </c>
      <c r="BG9" s="124">
        <v>5</v>
      </c>
      <c r="BH9" s="121">
        <v>5</v>
      </c>
      <c r="BI9" s="118" t="str">
        <f t="shared" si="28"/>
        <v>X</v>
      </c>
      <c r="BJ9" s="119" t="str">
        <f t="shared" si="29"/>
        <v/>
      </c>
      <c r="BK9" s="124">
        <v>4.9980000000000002</v>
      </c>
      <c r="BL9" s="121">
        <v>5</v>
      </c>
      <c r="BM9" s="118" t="str">
        <f t="shared" si="30"/>
        <v>X</v>
      </c>
      <c r="BN9" s="119" t="str">
        <f t="shared" si="31"/>
        <v/>
      </c>
      <c r="BO9" s="124">
        <v>5</v>
      </c>
      <c r="BP9" s="121">
        <v>5</v>
      </c>
      <c r="BQ9" s="118" t="str">
        <f t="shared" si="32"/>
        <v>X</v>
      </c>
      <c r="BR9" s="119" t="str">
        <f t="shared" si="33"/>
        <v/>
      </c>
    </row>
    <row r="10" spans="1:71" x14ac:dyDescent="0.25">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row>
    <row r="11" spans="1:71" ht="16.5" customHeight="1" x14ac:dyDescent="0.25"/>
    <row r="12" spans="1:71" ht="13.5" customHeight="1" x14ac:dyDescent="0.25"/>
    <row r="13" spans="1:71" s="27" customFormat="1" ht="13.5" customHeight="1" x14ac:dyDescent="0.25">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row>
    <row r="14" spans="1:71" s="27" customFormat="1" ht="12.75" customHeight="1" x14ac:dyDescent="0.25">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row>
    <row r="15" spans="1:71" s="27" customFormat="1" ht="12.75" customHeight="1" x14ac:dyDescent="0.2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row>
    <row r="17" spans="2:2" x14ac:dyDescent="0.25">
      <c r="B17" s="29"/>
    </row>
  </sheetData>
  <mergeCells count="88">
    <mergeCell ref="A1:BS1"/>
    <mergeCell ref="BO2:BR2"/>
    <mergeCell ref="BO3:BO4"/>
    <mergeCell ref="BP3:BP4"/>
    <mergeCell ref="BQ3:BQ4"/>
    <mergeCell ref="BR3:BR4"/>
    <mergeCell ref="BL3:BL4"/>
    <mergeCell ref="BM3:BM4"/>
    <mergeCell ref="BN3:BN4"/>
    <mergeCell ref="BF3:BF4"/>
    <mergeCell ref="BG3:BG4"/>
    <mergeCell ref="BH3:BH4"/>
    <mergeCell ref="BI3:BI4"/>
    <mergeCell ref="BJ3:BJ4"/>
    <mergeCell ref="BK3:BK4"/>
    <mergeCell ref="BE3:BE4"/>
    <mergeCell ref="BB3:BB4"/>
    <mergeCell ref="BC3:BC4"/>
    <mergeCell ref="AT3:AT4"/>
    <mergeCell ref="AU3:AU4"/>
    <mergeCell ref="AV3:AV4"/>
    <mergeCell ref="AW3:AW4"/>
    <mergeCell ref="AX3:AX4"/>
    <mergeCell ref="BD3:BD4"/>
    <mergeCell ref="AS3:AS4"/>
    <mergeCell ref="AH3:AH4"/>
    <mergeCell ref="AI3:AI4"/>
    <mergeCell ref="AJ3:AJ4"/>
    <mergeCell ref="AK3:AK4"/>
    <mergeCell ref="AL3:AL4"/>
    <mergeCell ref="AM3:AM4"/>
    <mergeCell ref="AN3:AN4"/>
    <mergeCell ref="AO3:AO4"/>
    <mergeCell ref="AP3:AP4"/>
    <mergeCell ref="AQ3:AQ4"/>
    <mergeCell ref="AR3:AR4"/>
    <mergeCell ref="AY3:AY4"/>
    <mergeCell ref="AZ3:AZ4"/>
    <mergeCell ref="BA3:BA4"/>
    <mergeCell ref="AG3:AG4"/>
    <mergeCell ref="V3:V4"/>
    <mergeCell ref="W3:W4"/>
    <mergeCell ref="X3:X4"/>
    <mergeCell ref="Y3:Y4"/>
    <mergeCell ref="Z3:Z4"/>
    <mergeCell ref="AA3:AA4"/>
    <mergeCell ref="AB3:AB4"/>
    <mergeCell ref="AC3:AC4"/>
    <mergeCell ref="AD3:AD4"/>
    <mergeCell ref="AE3:AE4"/>
    <mergeCell ref="AF3:AF4"/>
    <mergeCell ref="AY2:BB2"/>
    <mergeCell ref="BC2:BF2"/>
    <mergeCell ref="BG2:BJ2"/>
    <mergeCell ref="BK2:BN2"/>
    <mergeCell ref="C3:C4"/>
    <mergeCell ref="D3:D4"/>
    <mergeCell ref="E3:E4"/>
    <mergeCell ref="F3:F4"/>
    <mergeCell ref="G3:G4"/>
    <mergeCell ref="H3:H4"/>
    <mergeCell ref="AA2:AD2"/>
    <mergeCell ref="AE2:AH2"/>
    <mergeCell ref="AI2:AL2"/>
    <mergeCell ref="AM2:AP2"/>
    <mergeCell ref="AQ2:AT2"/>
    <mergeCell ref="AU2:AX2"/>
    <mergeCell ref="A2:A4"/>
    <mergeCell ref="B2:B4"/>
    <mergeCell ref="C2:F2"/>
    <mergeCell ref="G2:J2"/>
    <mergeCell ref="K2:N2"/>
    <mergeCell ref="O2:R2"/>
    <mergeCell ref="S2:V2"/>
    <mergeCell ref="W2:Z2"/>
    <mergeCell ref="I3:I4"/>
    <mergeCell ref="U3:U4"/>
    <mergeCell ref="J3:J4"/>
    <mergeCell ref="K3:K4"/>
    <mergeCell ref="L3:L4"/>
    <mergeCell ref="M3:M4"/>
    <mergeCell ref="N3:N4"/>
    <mergeCell ref="O3:O4"/>
    <mergeCell ref="P3:P4"/>
    <mergeCell ref="Q3:Q4"/>
    <mergeCell ref="R3:R4"/>
    <mergeCell ref="S3:S4"/>
    <mergeCell ref="T3:T4"/>
  </mergeCells>
  <conditionalFormatting sqref="E6:E9 I6:I9 M6:M9 Q6:Q9">
    <cfRule type="cellIs" dxfId="13" priority="11" stopIfTrue="1" operator="equal">
      <formula>"X"</formula>
    </cfRule>
  </conditionalFormatting>
  <conditionalFormatting sqref="F6:F9 J6:J9 N6:N9 R6:R9">
    <cfRule type="cellIs" dxfId="12" priority="12" stopIfTrue="1" operator="equal">
      <formula>"X"</formula>
    </cfRule>
  </conditionalFormatting>
  <conditionalFormatting sqref="U6:U9 AC6:AC9 AK6:AK9 AS6:AS9">
    <cfRule type="cellIs" dxfId="11" priority="9" stopIfTrue="1" operator="equal">
      <formula>"X"</formula>
    </cfRule>
  </conditionalFormatting>
  <conditionalFormatting sqref="V6:V9 AD6:AD9 AL6:AL9 AT6:AT9">
    <cfRule type="cellIs" dxfId="10" priority="10" stopIfTrue="1" operator="equal">
      <formula>"X"</formula>
    </cfRule>
  </conditionalFormatting>
  <conditionalFormatting sqref="Y6:Y9 AG6:AG9 AO6:AO9 AW6:AW9">
    <cfRule type="cellIs" dxfId="9" priority="7" stopIfTrue="1" operator="equal">
      <formula>"X"</formula>
    </cfRule>
  </conditionalFormatting>
  <conditionalFormatting sqref="Z6:Z9 AH6:AH9 AP6:AP9 AX6:AX9">
    <cfRule type="cellIs" dxfId="8" priority="8" stopIfTrue="1" operator="equal">
      <formula>"X"</formula>
    </cfRule>
  </conditionalFormatting>
  <conditionalFormatting sqref="BA6:BA9 BI6:BI9">
    <cfRule type="cellIs" dxfId="7" priority="5" stopIfTrue="1" operator="equal">
      <formula>"X"</formula>
    </cfRule>
  </conditionalFormatting>
  <conditionalFormatting sqref="BB6:BB9 BJ6:BJ9">
    <cfRule type="cellIs" dxfId="6" priority="6" stopIfTrue="1" operator="equal">
      <formula>"X"</formula>
    </cfRule>
  </conditionalFormatting>
  <conditionalFormatting sqref="BE6:BE9 BM6:BM9">
    <cfRule type="cellIs" dxfId="5" priority="3" stopIfTrue="1" operator="equal">
      <formula>"X"</formula>
    </cfRule>
  </conditionalFormatting>
  <conditionalFormatting sqref="BF6:BF9 BN6:BN9">
    <cfRule type="cellIs" dxfId="4" priority="4" stopIfTrue="1" operator="equal">
      <formula>"X"</formula>
    </cfRule>
  </conditionalFormatting>
  <conditionalFormatting sqref="BQ6:BQ9">
    <cfRule type="cellIs" dxfId="3" priority="1" stopIfTrue="1" operator="equal">
      <formula>"X"</formula>
    </cfRule>
  </conditionalFormatting>
  <conditionalFormatting sqref="BR6:BR9">
    <cfRule type="cellIs" dxfId="2" priority="2" stopIfTrue="1" operator="equal">
      <formula>"X"</formula>
    </cfRule>
  </conditionalFormatting>
  <pageMargins left="0.78740157480314965" right="0.78740157480314965" top="0.98425196850393704" bottom="0.98425196850393704" header="0.51181102362204722" footer="0.51181102362204722"/>
  <pageSetup paperSize="9" scale="20" orientation="landscape" r:id="rId1"/>
  <headerFooter alignWithMargins="0">
    <oddFooter>&amp;Lform 384en.00</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calibration certificate</vt:lpstr>
      <vt:lpstr>settings</vt:lpstr>
      <vt:lpstr>calibration procedure</vt:lpstr>
      <vt:lpstr>System Calibration manager </vt:lpstr>
      <vt:lpstr>VT 7001 1</vt:lpstr>
      <vt:lpstr>VT 7001 2</vt:lpstr>
      <vt:lpstr>VT 1004 </vt:lpstr>
      <vt:lpstr>VT 2004</vt:lpstr>
      <vt:lpstr>VT 2516</vt:lpstr>
      <vt:lpstr>VT 2816</vt:lpstr>
      <vt:lpstr>'calibration certificate'!Print_Area</vt:lpstr>
      <vt:lpstr>'calibration procedure'!Print_Area</vt:lpstr>
      <vt:lpstr>settings!Print_Area</vt:lpstr>
      <vt:lpstr>'System Calibration manager '!Print_Area</vt:lpstr>
      <vt:lpstr>'VT 1004 '!Print_Area</vt:lpstr>
      <vt:lpstr>'VT 2004'!Print_Area</vt:lpstr>
      <vt:lpstr>'VT 2516'!Print_Area</vt:lpstr>
      <vt:lpstr>'VT 2816'!Print_Area</vt:lpstr>
      <vt:lpstr>'VT 7001 1'!Print_Area</vt:lpstr>
      <vt:lpstr>'VT 7001 2'!Print_Area</vt:lpstr>
    </vt:vector>
  </TitlesOfParts>
  <Company>Marquardt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Jbeli, Achref (RDT-TU)</dc:creator>
  <cp:lastModifiedBy>Abidi, Oussama (RDT-TU)</cp:lastModifiedBy>
  <cp:lastPrinted>2025-07-18T09:54:10Z</cp:lastPrinted>
  <dcterms:created xsi:type="dcterms:W3CDTF">2011-07-22T09:29:16Z</dcterms:created>
  <dcterms:modified xsi:type="dcterms:W3CDTF">2026-06-10T13:53:58Z</dcterms:modified>
</cp:coreProperties>
</file>